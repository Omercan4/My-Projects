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2022-1 Dersler\IE306\HW4\"/>
    </mc:Choice>
  </mc:AlternateContent>
  <xr:revisionPtr revIDLastSave="0" documentId="8_{A5179022-8EE4-4CBF-9489-5BAE804DE481}" xr6:coauthVersionLast="47" xr6:coauthVersionMax="47" xr10:uidLastSave="{00000000-0000-0000-0000-000000000000}"/>
  <bookViews>
    <workbookView xWindow="345" yWindow="2130" windowWidth="20265" windowHeight="1326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ContinuousTimeStatsByRep!$A$1:$L$25</definedName>
    <definedName name="ExternalData_1" localSheetId="4" hidden="1">CounterStatsByRep!$A$1:$G$9</definedName>
    <definedName name="ExternalData_1" localSheetId="2" hidden="1">DiscreteTimeStatsByRep!$A$1:$K$5</definedName>
    <definedName name="ExternalData_1" localSheetId="6" hidden="1">FrequencyStatsByRep!$A$1:$J$2</definedName>
    <definedName name="ExternalData_1" localSheetId="5" hidden="1">OutputStatsByRep!$A$1:$H$5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8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J2" i="20" a="1"/>
  <c r="J2" i="20" s="1"/>
  <c r="J3" i="20" a="1"/>
  <c r="J3" i="20" s="1"/>
  <c r="J4" i="20" a="1"/>
  <c r="J4" i="20" s="1"/>
  <c r="J5" i="20" a="1"/>
  <c r="J5" i="20" s="1"/>
  <c r="M2" i="20" a="1"/>
  <c r="M2" i="20" s="1"/>
  <c r="M3" i="20" a="1"/>
  <c r="M3" i="20" s="1"/>
  <c r="M4" i="20" a="1"/>
  <c r="M4" i="20" s="1"/>
  <c r="M5" i="20" a="1"/>
  <c r="M5" i="20" s="1"/>
  <c r="H2" i="19"/>
  <c r="H3" i="19"/>
  <c r="H4" i="19"/>
  <c r="H5" i="19"/>
  <c r="H6" i="19"/>
  <c r="K6" i="19" s="1" a="1"/>
  <c r="K6" i="19" s="1"/>
  <c r="H7" i="19"/>
  <c r="H8" i="19"/>
  <c r="H9" i="19"/>
  <c r="I2" i="19" a="1"/>
  <c r="I2" i="19"/>
  <c r="I3" i="19" a="1"/>
  <c r="I3" i="19" s="1"/>
  <c r="I4" i="19" a="1"/>
  <c r="I4" i="19" s="1"/>
  <c r="I5" i="19" a="1"/>
  <c r="I5" i="19"/>
  <c r="I6" i="19" a="1"/>
  <c r="I6" i="19" s="1"/>
  <c r="I7" i="19" a="1"/>
  <c r="I7" i="19"/>
  <c r="I8" i="19" a="1"/>
  <c r="I8" i="19"/>
  <c r="I9" i="19" a="1"/>
  <c r="I9" i="19" s="1"/>
  <c r="L2" i="19" a="1"/>
  <c r="L2" i="19"/>
  <c r="L3" i="19" a="1"/>
  <c r="L3" i="19" s="1"/>
  <c r="L4" i="19" a="1"/>
  <c r="L4" i="19" s="1"/>
  <c r="L5" i="19" a="1"/>
  <c r="L5" i="19"/>
  <c r="L6" i="19" a="1"/>
  <c r="L6" i="19" s="1"/>
  <c r="L7" i="19" a="1"/>
  <c r="L7" i="19" s="1"/>
  <c r="L8" i="19" a="1"/>
  <c r="L8" i="19" s="1"/>
  <c r="L9" i="19" a="1"/>
  <c r="L9" i="19" s="1"/>
  <c r="M2" i="18"/>
  <c r="M3" i="18"/>
  <c r="P2" i="18" s="1" a="1"/>
  <c r="P2" i="18" s="1"/>
  <c r="M4" i="18"/>
  <c r="T8" i="18" s="1" a="1"/>
  <c r="T8" i="18" s="1"/>
  <c r="M5" i="18"/>
  <c r="P5" i="18" s="1" a="1"/>
  <c r="P5" i="18" s="1"/>
  <c r="M6" i="18"/>
  <c r="P10" i="18" s="1" a="1"/>
  <c r="P10" i="18" s="1"/>
  <c r="M7" i="18"/>
  <c r="P7" i="18" s="1" a="1"/>
  <c r="P7" i="18" s="1"/>
  <c r="M8" i="18"/>
  <c r="M9" i="18"/>
  <c r="M10" i="18"/>
  <c r="M11" i="18"/>
  <c r="M12" i="18"/>
  <c r="M13" i="18"/>
  <c r="M14" i="18"/>
  <c r="M15" i="18"/>
  <c r="M16" i="18"/>
  <c r="P16" i="18" s="1" a="1"/>
  <c r="P16" i="18" s="1"/>
  <c r="M17" i="18"/>
  <c r="O17" i="18" s="1" a="1"/>
  <c r="O17" i="18" s="1"/>
  <c r="M18" i="18"/>
  <c r="O18" i="18" s="1" a="1"/>
  <c r="O18" i="18" s="1"/>
  <c r="M19" i="18"/>
  <c r="O19" i="18" s="1" a="1"/>
  <c r="O19" i="18" s="1"/>
  <c r="M20" i="18"/>
  <c r="M21" i="18"/>
  <c r="M22" i="18"/>
  <c r="M23" i="18"/>
  <c r="M24" i="18"/>
  <c r="M25" i="18"/>
  <c r="N2" i="18" a="1"/>
  <c r="N2" i="18"/>
  <c r="N3" i="18" a="1"/>
  <c r="N3" i="18"/>
  <c r="N4" i="18" a="1"/>
  <c r="N4" i="18" s="1"/>
  <c r="N5" i="18" a="1"/>
  <c r="N5" i="18" s="1"/>
  <c r="N6" i="18" a="1"/>
  <c r="N6" i="18" s="1"/>
  <c r="N7" i="18" a="1"/>
  <c r="N7" i="18" s="1"/>
  <c r="N8" i="18" a="1"/>
  <c r="N8" i="18"/>
  <c r="N9" i="18" a="1"/>
  <c r="N9" i="18" s="1"/>
  <c r="N10" i="18" a="1"/>
  <c r="N10" i="18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P12" i="18" a="1"/>
  <c r="P12" i="18" s="1"/>
  <c r="P13" i="18" a="1"/>
  <c r="P13" i="18" s="1"/>
  <c r="P23" i="18" a="1"/>
  <c r="P23" i="18" s="1"/>
  <c r="P24" i="18" a="1"/>
  <c r="P24" i="18" s="1"/>
  <c r="P25" i="18" a="1"/>
  <c r="P25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S11" i="18" a="1"/>
  <c r="S11" i="18" s="1"/>
  <c r="S12" i="18" a="1"/>
  <c r="S12" i="18" s="1"/>
  <c r="S13" i="18" a="1"/>
  <c r="S13" i="18" s="1"/>
  <c r="S23" i="18" a="1"/>
  <c r="S23" i="18" s="1"/>
  <c r="S24" i="18" a="1"/>
  <c r="S24" i="18" s="1"/>
  <c r="S25" i="18" a="1"/>
  <c r="S25" i="18" s="1"/>
  <c r="T11" i="18" a="1"/>
  <c r="T11" i="18" s="1"/>
  <c r="T12" i="18" a="1"/>
  <c r="T12" i="18" s="1"/>
  <c r="T13" i="18" a="1"/>
  <c r="T13" i="18" s="1"/>
  <c r="T23" i="18" a="1"/>
  <c r="T23" i="18" s="1"/>
  <c r="T24" i="18" a="1"/>
  <c r="T24" i="18" s="1"/>
  <c r="T25" i="18" a="1"/>
  <c r="T25" i="18" s="1"/>
  <c r="L2" i="17"/>
  <c r="L3" i="17"/>
  <c r="L4" i="17"/>
  <c r="V4" i="17" s="1" a="1"/>
  <c r="V4" i="17" s="1"/>
  <c r="L5" i="17"/>
  <c r="R5" i="17" s="1" a="1"/>
  <c r="R5" i="17" s="1"/>
  <c r="M2" i="17" a="1"/>
  <c r="M2" i="17" s="1"/>
  <c r="M3" i="17" a="1"/>
  <c r="M3" i="17" s="1"/>
  <c r="M4" i="17" a="1"/>
  <c r="M4" i="17" s="1"/>
  <c r="M5" i="17" a="1"/>
  <c r="M5" i="17" s="1"/>
  <c r="P2" i="17" a="1"/>
  <c r="P2" i="17" s="1"/>
  <c r="P3" i="17" a="1"/>
  <c r="P3" i="17" s="1"/>
  <c r="P4" i="17" a="1"/>
  <c r="P4" i="17" s="1"/>
  <c r="P5" i="17" a="1"/>
  <c r="P5" i="17" s="1"/>
  <c r="G2" i="16"/>
  <c r="L5" i="20" l="1" a="1"/>
  <c r="L5" i="20" s="1"/>
  <c r="K3" i="20" a="1"/>
  <c r="K3" i="20" s="1"/>
  <c r="P5" i="20" a="1"/>
  <c r="P5" i="20" s="1"/>
  <c r="N5" i="20"/>
  <c r="N4" i="20"/>
  <c r="N2" i="20"/>
  <c r="O2" i="20" a="1"/>
  <c r="O2" i="20" s="1"/>
  <c r="K2" i="20" a="1"/>
  <c r="K2" i="20" s="1"/>
  <c r="P4" i="20" a="1"/>
  <c r="P4" i="20" s="1"/>
  <c r="L4" i="20" a="1"/>
  <c r="L4" i="20" s="1"/>
  <c r="O4" i="20" a="1"/>
  <c r="O4" i="20" s="1"/>
  <c r="P2" i="20" a="1"/>
  <c r="P2" i="20" s="1"/>
  <c r="L2" i="20" a="1"/>
  <c r="L2" i="20" s="1"/>
  <c r="O5" i="20" a="1"/>
  <c r="O5" i="20" s="1"/>
  <c r="L3" i="20" a="1"/>
  <c r="L3" i="20" s="1"/>
  <c r="N3" i="20" s="1"/>
  <c r="O3" i="20" a="1"/>
  <c r="O3" i="20" s="1"/>
  <c r="K5" i="20" a="1"/>
  <c r="K5" i="20" s="1"/>
  <c r="K4" i="20" a="1"/>
  <c r="K4" i="20" s="1"/>
  <c r="P3" i="20" a="1"/>
  <c r="P3" i="20" s="1"/>
  <c r="N6" i="19" a="1"/>
  <c r="N6" i="19" s="1"/>
  <c r="J2" i="19" a="1"/>
  <c r="J2" i="19" s="1"/>
  <c r="M3" i="19"/>
  <c r="M8" i="19"/>
  <c r="M6" i="19"/>
  <c r="O2" i="19" a="1"/>
  <c r="O2" i="19" s="1"/>
  <c r="J8" i="19" a="1"/>
  <c r="J8" i="19" s="1"/>
  <c r="N3" i="19" a="1"/>
  <c r="N3" i="19" s="1"/>
  <c r="K5" i="19" a="1"/>
  <c r="K5" i="19" s="1"/>
  <c r="M5" i="19" s="1"/>
  <c r="J7" i="19" a="1"/>
  <c r="J7" i="19" s="1"/>
  <c r="O4" i="19" a="1"/>
  <c r="O4" i="19" s="1"/>
  <c r="O9" i="19" a="1"/>
  <c r="O9" i="19" s="1"/>
  <c r="N5" i="19" a="1"/>
  <c r="N5" i="19" s="1"/>
  <c r="N2" i="19" a="1"/>
  <c r="N2" i="19" s="1"/>
  <c r="J6" i="19" a="1"/>
  <c r="J6" i="19" s="1"/>
  <c r="O3" i="19" a="1"/>
  <c r="O3" i="19" s="1"/>
  <c r="N8" i="19" a="1"/>
  <c r="N8" i="19" s="1"/>
  <c r="K4" i="19" a="1"/>
  <c r="K4" i="19" s="1"/>
  <c r="M4" i="19" s="1"/>
  <c r="K8" i="19" a="1"/>
  <c r="K8" i="19" s="1"/>
  <c r="O7" i="19" a="1"/>
  <c r="O7" i="19" s="1"/>
  <c r="O6" i="19" a="1"/>
  <c r="O6" i="19" s="1"/>
  <c r="O5" i="19" a="1"/>
  <c r="O5" i="19" s="1"/>
  <c r="K9" i="19" a="1"/>
  <c r="K9" i="19" s="1"/>
  <c r="M9" i="19" s="1"/>
  <c r="J5" i="19" a="1"/>
  <c r="J5" i="19" s="1"/>
  <c r="N9" i="19" a="1"/>
  <c r="N9" i="19" s="1"/>
  <c r="N7" i="19" a="1"/>
  <c r="N7" i="19" s="1"/>
  <c r="K3" i="19" a="1"/>
  <c r="K3" i="19" s="1"/>
  <c r="J4" i="19" a="1"/>
  <c r="J4" i="19" s="1"/>
  <c r="K7" i="19" a="1"/>
  <c r="K7" i="19" s="1"/>
  <c r="M7" i="19" s="1"/>
  <c r="J9" i="19" a="1"/>
  <c r="J9" i="19" s="1"/>
  <c r="J3" i="19" a="1"/>
  <c r="J3" i="19" s="1"/>
  <c r="K2" i="19" a="1"/>
  <c r="K2" i="19" s="1"/>
  <c r="M2" i="19" s="1"/>
  <c r="O8" i="19" a="1"/>
  <c r="O8" i="19" s="1"/>
  <c r="N4" i="19" a="1"/>
  <c r="N4" i="19" s="1"/>
  <c r="S22" i="18" a="1"/>
  <c r="S22" i="18" s="1"/>
  <c r="T9" i="18" a="1"/>
  <c r="T9" i="18" s="1"/>
  <c r="T20" i="18" a="1"/>
  <c r="T20" i="18" s="1"/>
  <c r="T19" i="18" a="1"/>
  <c r="T19" i="18" s="1"/>
  <c r="T7" i="18" a="1"/>
  <c r="T7" i="18" s="1"/>
  <c r="S19" i="18" a="1"/>
  <c r="S19" i="18" s="1"/>
  <c r="S7" i="18" a="1"/>
  <c r="S7" i="18" s="1"/>
  <c r="P19" i="18" a="1"/>
  <c r="P19" i="18" s="1"/>
  <c r="O14" i="18" a="1"/>
  <c r="O14" i="18" s="1"/>
  <c r="R10" i="18"/>
  <c r="U10" i="18" s="1"/>
  <c r="O20" i="18" a="1"/>
  <c r="O20" i="18" s="1"/>
  <c r="O15" i="18" a="1"/>
  <c r="O15" i="18" s="1"/>
  <c r="T6" i="18" a="1"/>
  <c r="T6" i="18" s="1"/>
  <c r="P6" i="18" a="1"/>
  <c r="P6" i="18" s="1"/>
  <c r="O13" i="18" a="1"/>
  <c r="O13" i="18" s="1"/>
  <c r="T17" i="18" a="1"/>
  <c r="T17" i="18" s="1"/>
  <c r="T5" i="18" a="1"/>
  <c r="T5" i="18" s="1"/>
  <c r="S17" i="18" a="1"/>
  <c r="S17" i="18" s="1"/>
  <c r="S5" i="18" a="1"/>
  <c r="S5" i="18" s="1"/>
  <c r="P17" i="18" a="1"/>
  <c r="P17" i="18" s="1"/>
  <c r="O22" i="18" a="1"/>
  <c r="O22" i="18" s="1"/>
  <c r="P22" i="18" a="1"/>
  <c r="P22" i="18" s="1"/>
  <c r="S9" i="18" a="1"/>
  <c r="S9" i="18" s="1"/>
  <c r="T18" i="18" a="1"/>
  <c r="T18" i="18" s="1"/>
  <c r="S6" i="18" a="1"/>
  <c r="S6" i="18" s="1"/>
  <c r="P18" i="18" a="1"/>
  <c r="P18" i="18" s="1"/>
  <c r="R18" i="18" s="1"/>
  <c r="U18" i="18" s="1"/>
  <c r="S16" i="18" a="1"/>
  <c r="S16" i="18" s="1"/>
  <c r="S10" i="18" a="1"/>
  <c r="S10" i="18" s="1"/>
  <c r="P21" i="18" a="1"/>
  <c r="P21" i="18" s="1"/>
  <c r="S18" i="18" a="1"/>
  <c r="S18" i="18" s="1"/>
  <c r="T16" i="18" a="1"/>
  <c r="T16" i="18" s="1"/>
  <c r="T4" i="18" a="1"/>
  <c r="T4" i="18" s="1"/>
  <c r="S4" i="18" a="1"/>
  <c r="S4" i="18" s="1"/>
  <c r="P4" i="18" a="1"/>
  <c r="P4" i="18" s="1"/>
  <c r="R4" i="18" s="1"/>
  <c r="U4" i="18" s="1"/>
  <c r="T15" i="18" a="1"/>
  <c r="T15" i="18" s="1"/>
  <c r="T3" i="18" a="1"/>
  <c r="T3" i="18" s="1"/>
  <c r="S15" i="18" a="1"/>
  <c r="S15" i="18" s="1"/>
  <c r="S3" i="18" a="1"/>
  <c r="S3" i="18" s="1"/>
  <c r="R3" i="18"/>
  <c r="U3" i="18" s="1"/>
  <c r="P15" i="18" a="1"/>
  <c r="P15" i="18" s="1"/>
  <c r="R15" i="18" s="1"/>
  <c r="U15" i="18" s="1"/>
  <c r="P3" i="18" a="1"/>
  <c r="P3" i="18" s="1"/>
  <c r="T14" i="18" a="1"/>
  <c r="T14" i="18" s="1"/>
  <c r="T2" i="18" a="1"/>
  <c r="T2" i="18" s="1"/>
  <c r="S14" i="18" a="1"/>
  <c r="S14" i="18" s="1"/>
  <c r="S2" i="18" a="1"/>
  <c r="S2" i="18" s="1"/>
  <c r="R2" i="18"/>
  <c r="U2" i="18" s="1"/>
  <c r="P14" i="18" a="1"/>
  <c r="P14" i="18" s="1"/>
  <c r="R14" i="18" s="1"/>
  <c r="U14" i="18" s="1"/>
  <c r="O25" i="18" a="1"/>
  <c r="O25" i="18" s="1"/>
  <c r="O24" i="18" a="1"/>
  <c r="O24" i="18" s="1"/>
  <c r="P11" i="18" a="1"/>
  <c r="P11" i="18" s="1"/>
  <c r="O5" i="18" a="1"/>
  <c r="O5" i="18" s="1"/>
  <c r="T10" i="18" a="1"/>
  <c r="T10" i="18" s="1"/>
  <c r="S21" i="18" a="1"/>
  <c r="S21" i="18" s="1"/>
  <c r="O2" i="18" a="1"/>
  <c r="O2" i="18" s="1"/>
  <c r="T22" i="18" a="1"/>
  <c r="T22" i="18" s="1"/>
  <c r="T21" i="18" a="1"/>
  <c r="T21" i="18" s="1"/>
  <c r="P9" i="18" a="1"/>
  <c r="P9" i="18" s="1"/>
  <c r="S20" i="18" a="1"/>
  <c r="S20" i="18" s="1"/>
  <c r="S8" i="18" a="1"/>
  <c r="S8" i="18" s="1"/>
  <c r="R20" i="18"/>
  <c r="U20" i="18" s="1"/>
  <c r="R8" i="18"/>
  <c r="U8" i="18" s="1"/>
  <c r="P20" i="18" a="1"/>
  <c r="P20" i="18" s="1"/>
  <c r="P8" i="18" a="1"/>
  <c r="P8" i="18" s="1"/>
  <c r="R17" i="18"/>
  <c r="U17" i="18" s="1"/>
  <c r="R11" i="18"/>
  <c r="U11" i="18" s="1"/>
  <c r="R16" i="18"/>
  <c r="U16" i="18" s="1"/>
  <c r="R25" i="18"/>
  <c r="U25" i="18" s="1"/>
  <c r="R24" i="18"/>
  <c r="U24" i="18" s="1"/>
  <c r="R7" i="18"/>
  <c r="U7" i="18" s="1"/>
  <c r="R23" i="18"/>
  <c r="U23" i="18" s="1"/>
  <c r="R6" i="18"/>
  <c r="U6" i="18" s="1"/>
  <c r="R22" i="18"/>
  <c r="U22" i="18" s="1"/>
  <c r="R5" i="18"/>
  <c r="U5" i="18" s="1"/>
  <c r="R21" i="18"/>
  <c r="U21" i="18" s="1"/>
  <c r="R13" i="18"/>
  <c r="U13" i="18" s="1"/>
  <c r="R12" i="18"/>
  <c r="U12" i="18" s="1"/>
  <c r="R19" i="18"/>
  <c r="U19" i="18" s="1"/>
  <c r="R9" i="18"/>
  <c r="U9" i="18" s="1"/>
  <c r="O8" i="18" a="1"/>
  <c r="O8" i="18" s="1"/>
  <c r="O7" i="18" a="1"/>
  <c r="O7" i="18" s="1"/>
  <c r="O6" i="18" a="1"/>
  <c r="O6" i="18" s="1"/>
  <c r="O12" i="18" a="1"/>
  <c r="O12" i="18" s="1"/>
  <c r="O11" i="18" a="1"/>
  <c r="O11" i="18" s="1"/>
  <c r="O23" i="18" a="1"/>
  <c r="O23" i="18" s="1"/>
  <c r="O16" i="18" a="1"/>
  <c r="O16" i="18" s="1"/>
  <c r="O10" i="18" a="1"/>
  <c r="O10" i="18" s="1"/>
  <c r="O4" i="18" a="1"/>
  <c r="O4" i="18" s="1"/>
  <c r="O21" i="18" a="1"/>
  <c r="O21" i="18" s="1"/>
  <c r="O9" i="18" a="1"/>
  <c r="O9" i="18" s="1"/>
  <c r="O3" i="18" a="1"/>
  <c r="O3" i="18" s="1"/>
  <c r="V3" i="17" a="1"/>
  <c r="V3" i="17" s="1"/>
  <c r="V2" i="17" a="1"/>
  <c r="V2" i="17" s="1"/>
  <c r="S2" i="17" a="1"/>
  <c r="S2" i="17" s="1"/>
  <c r="S3" i="17" a="1"/>
  <c r="S3" i="17" s="1"/>
  <c r="R2" i="17" a="1"/>
  <c r="R2" i="17" s="1"/>
  <c r="X5" i="17" a="1"/>
  <c r="X5" i="17" s="1"/>
  <c r="Y5" i="17" s="1"/>
  <c r="Q5" i="17" s="1"/>
  <c r="W5" i="17" s="1"/>
  <c r="U5" i="17" a="1"/>
  <c r="U5" i="17" s="1"/>
  <c r="U4" i="17" a="1"/>
  <c r="U4" i="17" s="1"/>
  <c r="T5" i="17" a="1"/>
  <c r="T5" i="17" s="1"/>
  <c r="X3" i="17" a="1"/>
  <c r="X3" i="17" s="1"/>
  <c r="Y3" i="17" s="1"/>
  <c r="Q3" i="17" s="1"/>
  <c r="W3" i="17" s="1"/>
  <c r="T3" i="17" a="1"/>
  <c r="T3" i="17" s="1"/>
  <c r="O3" i="17" a="1"/>
  <c r="O3" i="17" s="1"/>
  <c r="U3" i="17" a="1"/>
  <c r="U3" i="17" s="1"/>
  <c r="T4" i="17" a="1"/>
  <c r="T4" i="17" s="1"/>
  <c r="X2" i="17" a="1"/>
  <c r="X2" i="17" s="1"/>
  <c r="Y2" i="17" s="1"/>
  <c r="Q2" i="17" s="1"/>
  <c r="W2" i="17" s="1"/>
  <c r="V5" i="17" a="1"/>
  <c r="V5" i="17" s="1"/>
  <c r="S4" i="17" a="1"/>
  <c r="S4" i="17" s="1"/>
  <c r="X4" i="17" a="1"/>
  <c r="X4" i="17" s="1"/>
  <c r="Y4" i="17" s="1"/>
  <c r="T2" i="17" a="1"/>
  <c r="T2" i="17" s="1"/>
  <c r="N2" i="17" a="1"/>
  <c r="N2" i="17" s="1"/>
  <c r="U2" i="17" a="1"/>
  <c r="U2" i="17" s="1"/>
  <c r="O4" i="17" a="1"/>
  <c r="O4" i="17" s="1"/>
  <c r="R4" i="17" a="1"/>
  <c r="R4" i="17" s="1"/>
  <c r="O2" i="17" a="1"/>
  <c r="O2" i="17" s="1"/>
  <c r="N5" i="17" a="1"/>
  <c r="N5" i="17" s="1"/>
  <c r="S5" i="17" a="1"/>
  <c r="S5" i="17" s="1"/>
  <c r="R3" i="17" a="1"/>
  <c r="R3" i="17" s="1"/>
  <c r="N4" i="17" a="1"/>
  <c r="N4" i="17" s="1"/>
  <c r="O5" i="17" a="1"/>
  <c r="O5" i="17" s="1"/>
  <c r="N3" i="17" a="1"/>
  <c r="N3" i="17" s="1"/>
  <c r="Q4" i="17" l="1"/>
  <c r="W4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admin\desktop\2022-1 dersler\ie306\hw4\omihw4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admin\desktop\2022-1 dersler\ie306\hw4\omihw4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admin\desktop\2022-1 dersler\ie306\hw4\omihw4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admin\desktop\2022-1 dersler\ie306\hw4\omihw4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admin\desktop\2022-1 dersler\ie306\hw4\omihw4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admin\desktop\2022-1 dersler\ie306\hw4\omihw4.db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<sst xmlns="http://schemas.openxmlformats.org/spreadsheetml/2006/main" count="379" uniqueCount="76">
  <si>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</si>
  <si>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</si>
  <si>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</si>
  <si>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</si>
  <si>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</si>
  <si>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</si>
  <si>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</si>
  <si>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</si>
  <si>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</si>
  <si>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</si>
  <si>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</si>
  <si>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</si>
  <si>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</si>
  <si>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</si>
  <si>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</si>
  <si>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</si>
  <si>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</si>
  <si>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</si>
  <si>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</si>
  <si>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</si>
  <si>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</si>
  <si>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</si>
  <si>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</si>
  <si>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</si>
  <si>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</si>
  <si>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</si>
  <si>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</si>
  <si>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</si>
  <si>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</si>
  <si>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</si>
  <si>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</si>
  <si>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</si>
  <si>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</si>
  <si>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</si>
  <si>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</si>
  <si>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</si>
  <si>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</si>
  <si>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</si>
  <si>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</si>
  <si>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</si>
  <si>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</si>
  <si>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</si>
  <si>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</si>
  <si>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</si>
  <si>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</si>
  <si>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</si>
  <si>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</si>
  <si>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</si>
  <si>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</si>
  <si>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</si>
  <si>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</si>
  <si>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</si>
  <si>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</si>
  <si>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</si>
  <si>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</si>
  <si>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</si>
  <si>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</si>
  <si>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</si>
  <si>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</si>
  <si>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</si>
  <si>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</si>
  <si>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</si>
  <si>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</si>
  <si>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</si>
  <si>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</si>
  <si>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</si>
  <si>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</si>
  <si>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IE306HW4</t>
  </si>
  <si>
    <t>C:\Users\Admin\Desktop\2022-1 Dersler\IE306\HW4\OMIHW4.p</t>
  </si>
  <si>
    <t>2022-12-19 13:54:46</t>
  </si>
  <si>
    <t>None</t>
  </si>
  <si>
    <t>Number Of Engineering Students Who Forget Their Drink</t>
  </si>
  <si>
    <t>Number Of Social Sciences Students Who Forget Their Drink</t>
  </si>
  <si>
    <t>System.NumberOut</t>
  </si>
  <si>
    <t>Number 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</si>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</sst>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914.579810185183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914.579810185183" createdVersion="7" refreshedVersion="8" minRefreshableVersion="3" recordCount="4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IE306HW4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"/>
    </cacheField>
    <cacheField name="Name" numFmtId="0">
      <sharedItems containsBlank="1" count="100">
        <s v="Non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3">
        <s v="None"/>
        <m u="1"/>
        <s v="Total Time Per Entity" u="1"/>
        <s v="NVA Time" u="1"/>
        <s v="VA Time Per Entity" u="1"/>
        <s v="Other Time" u="1"/>
        <s v="Wait Time Per Entity" u="1"/>
        <s v="Total Time" u="1"/>
        <s v="Transfer Time" u="1"/>
        <s v="Wait Time" u="1"/>
        <s v="VA Time" u="1"/>
        <s v="Interval" u="1"/>
        <s v="Waiting Time" u="1"/>
      </sharedItems>
    </cacheField>
    <cacheField name="Source" numFmtId="0">
      <sharedItems containsBlank="1" count="6">
        <s v="None"/>
        <m u="1"/>
        <s v="Queue" u="1"/>
        <s v="Process" u="1"/>
        <s v="Entity" u="1"/>
        <s v="User Specified" u="1"/>
      </sharedItems>
    </cacheField>
    <cacheField name="Average" numFmtId="0">
      <sharedItems containsSemiMixedTypes="0" containsString="0" containsNumber="1" minValue="11.227803929732" maxValue="42.09444649803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minValue="38.1340974370775" maxValue="80.819856605674701"/>
    </cacheField>
    <cacheField name="NumberObservations" numFmtId="0">
      <sharedItems containsSemiMixedTypes="0" containsString="0" containsNumber="1" containsInteger="1" minValue="188" maxValue="202"/>
    </cacheField>
    <cacheField name="GroupByKey" numFmtId="0">
      <sharedItems/>
    </cacheField>
    <cacheField name="RepsRequested" numFmtId="0">
      <sharedItems containsSemiMixedTypes="0" containsString="0" containsNumber="1" containsInteger="1" minValue="4" maxValue="4"/>
    </cacheField>
    <cacheField name="AverageOfAverage" numFmtId="0">
      <sharedItems containsSemiMixedTypes="0" containsString="0" containsNumber="1" minValue="28.3812434489654" maxValue="28.3812434489654"/>
    </cacheField>
    <cacheField name="StDevOfAverage" numFmtId="0">
      <sharedItems containsSemiMixedTypes="0" containsString="0" containsNumber="1" minValue="14.336434556188861" maxValue="14.33643455618886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2.812466592142457" maxValue="22.812466592142457"/>
    </cacheField>
    <cacheField name="MinimumAverage" numFmtId="0">
      <sharedItems containsSemiMixedTypes="0" containsString="0" containsNumber="1" minValue="11.227803929732" maxValue="11.227803929732"/>
    </cacheField>
    <cacheField name="MaximumAverage" numFmtId="0">
      <sharedItems containsSemiMixedTypes="0" containsString="0" containsNumber="1" minValue="42.0944464980399" maxValue="42.0944464980399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80.819856605674701" maxValue="80.819856605674701"/>
    </cacheField>
    <cacheField name="AverageNumberObservations" numFmtId="0">
      <sharedItems containsSemiMixedTypes="0" containsString="0" containsNumber="1" minValue="196.5" maxValue="196.5"/>
    </cacheField>
    <cacheField name="SummaryHalfWidth" numFmtId="0">
      <sharedItems containsSemiMixedTypes="0" containsString="0" containsNumber="1" minValue="22.812466592142457" maxValue="22.812466592142457"/>
    </cacheField>
    <cacheField name="RepsWithStatObserved" numFmtId="0">
      <sharedItems containsSemiMixedTypes="0" containsString="0" containsNumber="1" containsInteger="1" minValue="4" maxValue="4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914.579810185183" createdVersion="7" refreshedVersion="8" minRefreshableVersion="3" recordCount="4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IE306HW4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"/>
    </cacheField>
    <cacheField name="Name" numFmtId="0">
      <sharedItems containsBlank="1" count="79"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Out"/>
        <m u="1"/>
        <s v="Number In"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System"/>
        <m u="1"/>
        <s v="Resource" u="1"/>
        <s v="Process" u="1"/>
        <s v="Entity" u="1"/>
      </sharedItems>
    </cacheField>
    <cacheField name="RecordedValue" numFmtId="0">
      <sharedItems containsSemiMixedTypes="0" containsString="0" containsNumber="1" containsInteger="1" minValue="0" maxValue="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" maxValue="4"/>
    </cacheField>
    <cacheField name="Average" numFmtId="0">
      <sharedItems containsSemiMixedTypes="0" containsString="0" containsNumber="1" containsInteger="1" minValue="0" maxValue="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0" maxValue="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914.579810185183" createdVersion="7" refreshedVersion="8" minRefreshableVersion="3" recordCount="8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IE306HW4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"/>
    </cacheField>
    <cacheField name="Name" numFmtId="0">
      <sharedItems containsBlank="1" count="6">
        <s v="Number Of Engineering Students Who Forget Their Drink"/>
        <s v="Number Of Social Sciences Students Who Forget Their Drink"/>
        <m u="1"/>
        <s v="Counter 2" u="1"/>
        <s v="Counter 1" u="1"/>
        <s v="Count Products" u="1"/>
      </sharedItems>
    </cacheField>
    <cacheField name="Type" numFmtId="0">
      <sharedItems containsBlank="1" count="3">
        <s v="None"/>
        <m u="1"/>
        <s v="Count" u="1"/>
      </sharedItems>
    </cacheField>
    <cacheField name="Source" numFmtId="0">
      <sharedItems containsBlank="1" count="3">
        <s v="None"/>
        <m u="1"/>
        <s v="User Specified" u="1"/>
      </sharedItems>
    </cacheField>
    <cacheField name="RecordedValue" numFmtId="0">
      <sharedItems containsSemiMixedTypes="0" containsString="0" containsNumber="1" containsInteger="1" minValue="14" maxValue="27"/>
    </cacheField>
    <cacheField name="GroupByKey" numFmtId="0">
      <sharedItems/>
    </cacheField>
    <cacheField name="RepsRequested" numFmtId="0">
      <sharedItems containsSemiMixedTypes="0" containsString="0" containsNumber="1" containsInteger="1" minValue="4" maxValue="4"/>
    </cacheField>
    <cacheField name="Average" numFmtId="0">
      <sharedItems containsSemiMixedTypes="0" containsString="0" containsNumber="1" containsInteger="1" minValue="20" maxValue="23"/>
    </cacheField>
    <cacheField name="StandardDeviation" numFmtId="0">
      <sharedItems containsSemiMixedTypes="0" containsString="0" containsNumber="1" minValue="2.9439202887759488" maxValue="4.546060565661951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4.684434123032382" maxValue="7.2337968253934202"/>
    </cacheField>
    <cacheField name="Minimum" numFmtId="0">
      <sharedItems containsSemiMixedTypes="0" containsString="0" containsNumber="1" containsInteger="1" minValue="14" maxValue="20"/>
    </cacheField>
    <cacheField name="Maximum" numFmtId="0">
      <sharedItems containsSemiMixedTypes="0" containsString="0" containsNumber="1" containsInteger="1" minValue="25" maxValue="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914.579810416668" createdVersion="7" refreshedVersion="8" minRefreshableVersion="3" recordCount="24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IE306HW4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"/>
    </cacheField>
    <cacheField name="Name" numFmtId="0">
      <sharedItems containsBlank="1" count="125">
        <s v="Non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8">
        <s v="None"/>
        <m u="1"/>
        <s v="WIP"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Blank="1" count="6">
        <s v="None"/>
        <m u="1"/>
        <s v="Queue" u="1"/>
        <s v="Resource" u="1"/>
        <s v="Entity" u="1"/>
        <s v="User Specified" u="1"/>
      </sharedItems>
    </cacheField>
    <cacheField name="Average" numFmtId="0">
      <sharedItems containsSemiMixedTypes="0" containsString="0" containsNumber="1" minValue="0.391666666666667" maxValue="38.013038505588199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1" maxValue="81"/>
    </cacheField>
    <cacheField name="LastRecordedValue" numFmtId="0">
      <sharedItems containsSemiMixedTypes="0" containsString="0" containsNumber="1" containsInteger="1" minValue="0" maxValue="8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" maxValue="4"/>
    </cacheField>
    <cacheField name="AverageOfAverage" numFmtId="0">
      <sharedItems containsSemiMixedTypes="0" containsString="0" containsNumber="1" minValue="8.0292898613665127" maxValue="8.0292898613665127"/>
    </cacheField>
    <cacheField name="StDevOfAverage" numFmtId="0">
      <sharedItems containsSemiMixedTypes="0" containsString="0" containsNumber="1" minValue="12.439288329562636" maxValue="12.43928832956263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9.79368359238768" maxValue="19.79368359238768"/>
    </cacheField>
    <cacheField name="MinimumAverage" numFmtId="0">
      <sharedItems containsSemiMixedTypes="0" containsString="0" containsNumber="1" minValue="0.391666666666667" maxValue="0.391666666666667"/>
    </cacheField>
    <cacheField name="MaximumAverage" numFmtId="0">
      <sharedItems containsSemiMixedTypes="0" containsString="0" containsNumber="1" minValue="38.013038505588199" maxValue="38.013038505588199"/>
    </cacheField>
    <cacheField name="SummaryHalfWidth" numFmtId="0">
      <sharedItems containsSemiMixedTypes="0" containsString="0" containsNumber="1" minValue="19.79368359238768" maxValue="19.793683592387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s v="2022-12-19 13:54:46"/>
    <n v="1"/>
    <x v="0"/>
    <x v="0"/>
    <x v="0"/>
    <n v="42.0944464980399"/>
    <n v="2E+20"/>
    <n v="0"/>
    <n v="79.491871718131506"/>
    <n v="188"/>
    <s v="IE306HW4NoneNoneNone"/>
    <n v="4"/>
    <n v="28.3812434489654"/>
    <n v="14.336434556188861"/>
    <n v="0.95"/>
    <n v="22.812466592142457"/>
    <n v="11.227803929732"/>
    <n v="42.0944464980399"/>
    <n v="0"/>
    <n v="80.819856605674701"/>
    <n v="196.5"/>
    <n v="22.812466592142457"/>
    <n v="4"/>
    <n v="1"/>
  </r>
  <r>
    <x v="0"/>
    <s v="2022-12-19 13:54:46"/>
    <n v="2"/>
    <x v="0"/>
    <x v="0"/>
    <x v="0"/>
    <n v="22.089182559074899"/>
    <n v="2E+20"/>
    <n v="0"/>
    <n v="43.155804196061702"/>
    <n v="199"/>
    <s v="IE306HW4NoneNoneNone"/>
    <n v="4"/>
    <n v="28.3812434489654"/>
    <n v="14.336434556188861"/>
    <n v="0.95"/>
    <n v="22.812466592142457"/>
    <n v="11.227803929732"/>
    <n v="42.0944464980399"/>
    <n v="0"/>
    <n v="80.819856605674701"/>
    <n v="196.5"/>
    <n v="22.812466592142457"/>
    <n v="4"/>
    <n v="1"/>
  </r>
  <r>
    <x v="0"/>
    <s v="2022-12-19 13:54:46"/>
    <n v="3"/>
    <x v="0"/>
    <x v="0"/>
    <x v="0"/>
    <n v="11.227803929732"/>
    <n v="2E+20"/>
    <n v="0"/>
    <n v="38.1340974370775"/>
    <n v="202"/>
    <s v="IE306HW4NoneNoneNone"/>
    <n v="4"/>
    <n v="28.3812434489654"/>
    <n v="14.336434556188861"/>
    <n v="0.95"/>
    <n v="22.812466592142457"/>
    <n v="11.227803929732"/>
    <n v="42.0944464980399"/>
    <n v="0"/>
    <n v="80.819856605674701"/>
    <n v="196.5"/>
    <n v="22.812466592142457"/>
    <n v="4"/>
    <n v="1"/>
  </r>
  <r>
    <x v="0"/>
    <s v="2022-12-19 13:54:46"/>
    <n v="4"/>
    <x v="0"/>
    <x v="0"/>
    <x v="0"/>
    <n v="38.1135408090148"/>
    <n v="2E+20"/>
    <n v="0"/>
    <n v="80.819856605674701"/>
    <n v="197"/>
    <s v="IE306HW4NoneNoneNone"/>
    <n v="4"/>
    <n v="28.3812434489654"/>
    <n v="14.336434556188861"/>
    <n v="0.95"/>
    <n v="22.812466592142457"/>
    <n v="11.227803929732"/>
    <n v="42.0944464980399"/>
    <n v="0"/>
    <n v="80.819856605674701"/>
    <n v="196.5"/>
    <n v="22.812466592142457"/>
    <n v="4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s v="2022-12-19 13:54:46"/>
    <n v="1"/>
    <x v="0"/>
    <x v="0"/>
    <x v="0"/>
    <n v="0"/>
    <n v="0"/>
    <s v="IE306HW4System.NumberOutNumber OutSystem"/>
    <n v="4"/>
    <n v="0"/>
    <n v="0"/>
    <n v="0.95"/>
    <n v="0"/>
    <n v="0"/>
    <n v="0"/>
  </r>
  <r>
    <x v="0"/>
    <s v="2022-12-19 13:54:46"/>
    <n v="2"/>
    <x v="0"/>
    <x v="0"/>
    <x v="0"/>
    <n v="0"/>
    <n v="0"/>
    <s v="IE306HW4System.NumberOutNumber OutSystem"/>
    <n v="4"/>
    <n v="0"/>
    <n v="0"/>
    <n v="0.95"/>
    <n v="0"/>
    <n v="0"/>
    <n v="0"/>
  </r>
  <r>
    <x v="0"/>
    <s v="2022-12-19 13:54:46"/>
    <n v="3"/>
    <x v="0"/>
    <x v="0"/>
    <x v="0"/>
    <n v="0"/>
    <n v="0"/>
    <s v="IE306HW4System.NumberOutNumber OutSystem"/>
    <n v="4"/>
    <n v="0"/>
    <n v="0"/>
    <n v="0.95"/>
    <n v="0"/>
    <n v="0"/>
    <n v="0"/>
  </r>
  <r>
    <x v="0"/>
    <s v="2022-12-19 13:54:46"/>
    <n v="4"/>
    <x v="0"/>
    <x v="0"/>
    <x v="0"/>
    <n v="0"/>
    <n v="0"/>
    <s v="IE306HW4System.NumberOutNumber OutSystem"/>
    <n v="4"/>
    <n v="0"/>
    <n v="0"/>
    <n v="0.95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s v="2022-12-19 13:54:46"/>
    <n v="1"/>
    <x v="0"/>
    <x v="0"/>
    <x v="0"/>
    <n v="25"/>
    <s v="IE306HW4Number Of Engineering Students Who Forget Their DrinkNoneNone"/>
    <n v="4"/>
    <n v="20"/>
    <n v="4.5460605656619517"/>
    <n v="0.95"/>
    <n v="7.2337968253934202"/>
    <n v="14"/>
    <n v="25"/>
  </r>
  <r>
    <x v="0"/>
    <s v="2022-12-19 13:54:46"/>
    <n v="1"/>
    <x v="1"/>
    <x v="0"/>
    <x v="0"/>
    <n v="20"/>
    <s v="IE306HW4Number Of Social Sciences Students Who Forget Their DrinkNoneNone"/>
    <n v="4"/>
    <n v="23"/>
    <n v="2.9439202887759488"/>
    <n v="0.95"/>
    <n v="4.684434123032382"/>
    <n v="20"/>
    <n v="27"/>
  </r>
  <r>
    <x v="0"/>
    <s v="2022-12-19 13:54:46"/>
    <n v="2"/>
    <x v="0"/>
    <x v="0"/>
    <x v="0"/>
    <n v="20"/>
    <s v="IE306HW4Number Of Engineering Students Who Forget Their DrinkNoneNone"/>
    <n v="4"/>
    <n v="20"/>
    <n v="4.5460605656619517"/>
    <n v="0.95"/>
    <n v="7.2337968253934202"/>
    <n v="14"/>
    <n v="25"/>
  </r>
  <r>
    <x v="0"/>
    <s v="2022-12-19 13:54:46"/>
    <n v="2"/>
    <x v="1"/>
    <x v="0"/>
    <x v="0"/>
    <n v="22"/>
    <s v="IE306HW4Number Of Social Sciences Students Who Forget Their DrinkNoneNone"/>
    <n v="4"/>
    <n v="23"/>
    <n v="2.9439202887759488"/>
    <n v="0.95"/>
    <n v="4.684434123032382"/>
    <n v="20"/>
    <n v="27"/>
  </r>
  <r>
    <x v="0"/>
    <s v="2022-12-19 13:54:46"/>
    <n v="3"/>
    <x v="0"/>
    <x v="0"/>
    <x v="0"/>
    <n v="21"/>
    <s v="IE306HW4Number Of Engineering Students Who Forget Their DrinkNoneNone"/>
    <n v="4"/>
    <n v="20"/>
    <n v="4.5460605656619517"/>
    <n v="0.95"/>
    <n v="7.2337968253934202"/>
    <n v="14"/>
    <n v="25"/>
  </r>
  <r>
    <x v="0"/>
    <s v="2022-12-19 13:54:46"/>
    <n v="3"/>
    <x v="1"/>
    <x v="0"/>
    <x v="0"/>
    <n v="27"/>
    <s v="IE306HW4Number Of Social Sciences Students Who Forget Their DrinkNoneNone"/>
    <n v="4"/>
    <n v="23"/>
    <n v="2.9439202887759488"/>
    <n v="0.95"/>
    <n v="4.684434123032382"/>
    <n v="20"/>
    <n v="27"/>
  </r>
  <r>
    <x v="0"/>
    <s v="2022-12-19 13:54:46"/>
    <n v="4"/>
    <x v="0"/>
    <x v="0"/>
    <x v="0"/>
    <n v="14"/>
    <s v="IE306HW4Number Of Engineering Students Who Forget Their DrinkNoneNone"/>
    <n v="4"/>
    <n v="20"/>
    <n v="4.5460605656619517"/>
    <n v="0.95"/>
    <n v="7.2337968253934202"/>
    <n v="14"/>
    <n v="25"/>
  </r>
  <r>
    <x v="0"/>
    <s v="2022-12-19 13:54:46"/>
    <n v="4"/>
    <x v="1"/>
    <x v="0"/>
    <x v="0"/>
    <n v="23"/>
    <s v="IE306HW4Number Of Social Sciences Students Who Forget Their DrinkNoneNone"/>
    <n v="4"/>
    <n v="23"/>
    <n v="2.9439202887759488"/>
    <n v="0.95"/>
    <n v="4.684434123032382"/>
    <n v="20"/>
    <n v="2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s v="2022-12-19 13:54:46"/>
    <n v="1"/>
    <x v="0"/>
    <x v="0"/>
    <x v="0"/>
    <n v="0.83634401293147298"/>
    <n v="2E+20"/>
    <n v="0"/>
    <n v="2"/>
    <n v="1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1"/>
    <x v="0"/>
    <x v="0"/>
    <x v="0"/>
    <n v="1.10429142834448"/>
    <n v="2E+20"/>
    <n v="0"/>
    <n v="2"/>
    <n v="1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1"/>
    <x v="0"/>
    <x v="0"/>
    <x v="0"/>
    <n v="0.465845322995734"/>
    <n v="2E+20"/>
    <n v="0"/>
    <n v="1"/>
    <n v="1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1"/>
    <x v="0"/>
    <x v="0"/>
    <x v="0"/>
    <n v="0.52500000000000002"/>
    <n v="2E+20"/>
    <n v="0"/>
    <n v="1"/>
    <n v="0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1"/>
    <x v="0"/>
    <x v="0"/>
    <x v="0"/>
    <n v="17.8359843823444"/>
    <n v="3E+20"/>
    <n v="0"/>
    <n v="33"/>
    <n v="26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1"/>
    <x v="0"/>
    <x v="0"/>
    <x v="0"/>
    <n v="28.848541422894801"/>
    <n v="3E+20"/>
    <n v="0"/>
    <n v="72"/>
    <n v="71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2"/>
    <x v="0"/>
    <x v="0"/>
    <x v="0"/>
    <n v="0.80414972986905497"/>
    <n v="2E+20"/>
    <n v="0"/>
    <n v="2"/>
    <n v="2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2"/>
    <x v="0"/>
    <x v="0"/>
    <x v="0"/>
    <n v="1.0875669983654299"/>
    <n v="2E+20"/>
    <n v="0"/>
    <n v="2"/>
    <n v="0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2"/>
    <x v="0"/>
    <x v="0"/>
    <x v="0"/>
    <n v="0.44166666666666698"/>
    <n v="2E+20"/>
    <n v="0"/>
    <n v="1"/>
    <n v="0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2"/>
    <x v="0"/>
    <x v="0"/>
    <x v="0"/>
    <n v="0.552510183950082"/>
    <n v="2E+20"/>
    <n v="0"/>
    <n v="1"/>
    <n v="1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2"/>
    <x v="0"/>
    <x v="0"/>
    <x v="0"/>
    <n v="9.9163837291833499"/>
    <n v="3E+20"/>
    <n v="0"/>
    <n v="21"/>
    <n v="19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2"/>
    <x v="0"/>
    <x v="0"/>
    <x v="0"/>
    <n v="34.155321100913099"/>
    <n v="3E+20"/>
    <n v="0"/>
    <n v="78"/>
    <n v="77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3"/>
    <x v="0"/>
    <x v="0"/>
    <x v="0"/>
    <n v="0.88370918443503899"/>
    <n v="2E+20"/>
    <n v="0"/>
    <n v="2"/>
    <n v="1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3"/>
    <x v="0"/>
    <x v="0"/>
    <x v="0"/>
    <n v="0.93318431283002801"/>
    <n v="2E+20"/>
    <n v="0"/>
    <n v="2"/>
    <n v="1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3"/>
    <x v="0"/>
    <x v="0"/>
    <x v="0"/>
    <n v="0.46454072466620999"/>
    <n v="2E+20"/>
    <n v="0"/>
    <n v="1"/>
    <n v="1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3"/>
    <x v="0"/>
    <x v="0"/>
    <x v="0"/>
    <n v="0.53125"/>
    <n v="2E+20"/>
    <n v="0"/>
    <n v="1"/>
    <n v="0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3"/>
    <x v="0"/>
    <x v="0"/>
    <x v="0"/>
    <n v="4.7592115463315698"/>
    <n v="3E+20"/>
    <n v="0"/>
    <n v="16"/>
    <n v="3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3"/>
    <x v="0"/>
    <x v="0"/>
    <x v="0"/>
    <n v="38.013038505588199"/>
    <n v="3E+20"/>
    <n v="0"/>
    <n v="81"/>
    <n v="81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4"/>
    <x v="0"/>
    <x v="0"/>
    <x v="0"/>
    <n v="0.76171565732053104"/>
    <n v="2E+20"/>
    <n v="0"/>
    <n v="2"/>
    <n v="1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4"/>
    <x v="0"/>
    <x v="0"/>
    <x v="0"/>
    <n v="1.1014316833083"/>
    <n v="2E+20"/>
    <n v="0"/>
    <n v="2"/>
    <n v="1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4"/>
    <x v="0"/>
    <x v="0"/>
    <x v="0"/>
    <n v="0.391666666666667"/>
    <n v="2E+20"/>
    <n v="0"/>
    <n v="1"/>
    <n v="0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4"/>
    <x v="0"/>
    <x v="0"/>
    <x v="0"/>
    <n v="0.592910496785793"/>
    <n v="2E+20"/>
    <n v="0"/>
    <n v="1"/>
    <n v="1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4"/>
    <x v="0"/>
    <x v="0"/>
    <x v="0"/>
    <n v="17.659879964687601"/>
    <n v="3E+20"/>
    <n v="0"/>
    <n v="38"/>
    <n v="29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  <r>
    <x v="0"/>
    <s v="2022-12-19 13:54:46"/>
    <n v="4"/>
    <x v="0"/>
    <x v="0"/>
    <x v="0"/>
    <n v="30.036812951717799"/>
    <n v="3E+20"/>
    <n v="0"/>
    <n v="74"/>
    <n v="73"/>
    <n v="0"/>
    <s v="IE306HW4NoneNoneNone"/>
    <n v="4"/>
    <n v="8.0292898613665127"/>
    <n v="12.439288329562636"/>
    <n v="0.95"/>
    <n v="19.79368359238768"/>
    <n v="0.391666666666667"/>
    <n v="38.013038505588199"/>
    <n v="19.793683592387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1"/>
        <item m="1" x="34"/>
        <item m="1" x="6"/>
        <item m="1" x="86"/>
        <item m="1" x="69"/>
        <item m="1" x="39"/>
        <item m="1" x="95"/>
        <item m="1" x="27"/>
        <item m="1" x="31"/>
        <item m="1" x="98"/>
        <item m="1" x="64"/>
        <item m="1" x="76"/>
        <item m="1" x="81"/>
        <item m="1" x="5"/>
        <item m="1" x="33"/>
        <item m="1" x="23"/>
        <item m="1" x="99"/>
        <item m="1" x="93"/>
        <item m="1" x="21"/>
        <item m="1" x="15"/>
        <item m="1" x="87"/>
        <item m="1" x="7"/>
        <item m="1" x="40"/>
        <item m="1" x="26"/>
        <item m="1" x="51"/>
        <item m="1" x="78"/>
        <item m="1" x="42"/>
        <item m="1" x="12"/>
        <item m="1" x="36"/>
        <item m="1" x="65"/>
        <item m="1" x="55"/>
        <item m="1" x="13"/>
        <item m="1" x="72"/>
        <item m="1" x="4"/>
        <item m="1" x="92"/>
        <item m="1" x="60"/>
        <item m="1" x="80"/>
        <item m="1" x="35"/>
        <item m="1" x="94"/>
        <item m="1" x="63"/>
        <item m="1" x="17"/>
        <item m="1" x="54"/>
        <item m="1" x="68"/>
        <item m="1" x="79"/>
        <item m="1" x="85"/>
        <item m="1" x="3"/>
        <item m="1" x="16"/>
        <item m="1" x="25"/>
        <item m="1" x="18"/>
        <item m="1" x="2"/>
        <item m="1" x="77"/>
        <item m="1" x="89"/>
        <item m="1" x="29"/>
        <item m="1" x="59"/>
        <item m="1" x="20"/>
        <item m="1" x="37"/>
        <item m="1" x="24"/>
        <item m="1" x="45"/>
        <item m="1" x="32"/>
        <item m="1" x="52"/>
        <item m="1" x="38"/>
        <item m="1" x="61"/>
        <item m="1" x="46"/>
        <item m="1" x="66"/>
        <item m="1" x="53"/>
        <item m="1" x="74"/>
        <item m="1" x="67"/>
        <item m="1" x="82"/>
        <item m="1" x="90"/>
        <item m="1" x="70"/>
        <item m="1" x="49"/>
        <item m="1" x="30"/>
        <item m="1" x="43"/>
        <item m="1" x="14"/>
        <item m="1" x="19"/>
        <item m="1" x="28"/>
        <item m="1" x="56"/>
        <item m="1" x="91"/>
        <item m="1" x="84"/>
        <item m="1" x="71"/>
        <item m="1" x="44"/>
        <item m="1" x="57"/>
        <item m="1" x="48"/>
        <item m="1" x="73"/>
        <item m="1" x="58"/>
        <item m="1" x="41"/>
        <item m="1" x="47"/>
        <item m="1" x="10"/>
        <item m="1" x="50"/>
        <item m="1" x="62"/>
        <item m="1" x="75"/>
        <item m="1" x="83"/>
        <item m="1" x="88"/>
        <item m="1" x="97"/>
        <item m="1" x="8"/>
        <item m="1" x="22"/>
        <item m="1" x="96"/>
        <item m="1" x="9"/>
        <item m="1" x="1"/>
        <item x="0"/>
      </items>
    </pivotField>
    <pivotField axis="axisRow" compact="0" outline="0" showAll="0" defaultSubtotal="0">
      <items count="13">
        <item m="1" x="11"/>
        <item m="1" x="3"/>
        <item m="1" x="5"/>
        <item m="1" x="7"/>
        <item m="1" x="8"/>
        <item m="1" x="10"/>
        <item m="1" x="9"/>
        <item m="1" x="12"/>
        <item m="1" x="2"/>
        <item m="1" x="4"/>
        <item m="1" x="6"/>
        <item m="1" x="1"/>
        <item x="0"/>
      </items>
    </pivotField>
    <pivotField axis="axisRow" compact="0" outline="0" showAll="0" defaultSubtotal="0">
      <items count="6">
        <item m="1" x="4"/>
        <item m="1" x="2"/>
        <item m="1" x="5"/>
        <item m="1" x="3"/>
        <item m="1" x="1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">
    <i>
      <x v="3"/>
      <x v="99"/>
      <x v="12"/>
      <x v="5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3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9">
        <item m="1" x="26"/>
        <item m="1" x="2"/>
        <item m="1" x="27"/>
        <item m="1" x="3"/>
        <item m="1" x="28"/>
        <item m="1" x="4"/>
        <item m="1" x="29"/>
        <item m="1" x="5"/>
        <item m="1" x="61"/>
        <item m="1" x="16"/>
        <item x="0"/>
        <item m="1" x="60"/>
        <item m="1" x="47"/>
        <item m="1" x="64"/>
        <item m="1" x="49"/>
        <item m="1" x="65"/>
        <item m="1" x="72"/>
        <item m="1" x="41"/>
        <item m="1" x="9"/>
        <item m="1" x="58"/>
        <item m="1" x="48"/>
        <item m="1" x="46"/>
        <item m="1" x="12"/>
        <item m="1" x="56"/>
        <item m="1" x="21"/>
        <item m="1" x="57"/>
        <item m="1" x="22"/>
        <item m="1" x="55"/>
        <item m="1" x="75"/>
        <item m="1" x="15"/>
        <item m="1" x="78"/>
        <item m="1" x="43"/>
        <item m="1" x="10"/>
        <item m="1" x="73"/>
        <item m="1" x="68"/>
        <item m="1" x="44"/>
        <item m="1" x="11"/>
        <item m="1" x="74"/>
        <item m="1" x="69"/>
        <item m="1" x="6"/>
        <item m="1" x="40"/>
        <item m="1" x="24"/>
        <item m="1" x="14"/>
        <item m="1" x="66"/>
        <item m="1" x="36"/>
        <item m="1" x="67"/>
        <item m="1" x="37"/>
        <item m="1" x="23"/>
        <item m="1" x="18"/>
        <item m="1" x="45"/>
        <item m="1" x="20"/>
        <item m="1" x="77"/>
        <item m="1" x="70"/>
        <item m="1" x="19"/>
        <item m="1" x="17"/>
        <item m="1" x="62"/>
        <item m="1" x="71"/>
        <item m="1" x="7"/>
        <item m="1" x="25"/>
        <item m="1" x="38"/>
        <item m="1" x="59"/>
        <item m="1" x="76"/>
        <item m="1" x="8"/>
        <item m="1" x="35"/>
        <item m="1" x="39"/>
        <item m="1" x="63"/>
        <item m="1" x="42"/>
        <item m="1" x="13"/>
        <item m="1" x="30"/>
        <item m="1" x="50"/>
        <item m="1" x="31"/>
        <item m="1" x="51"/>
        <item m="1" x="32"/>
        <item m="1" x="52"/>
        <item m="1" x="33"/>
        <item m="1" x="53"/>
        <item m="1" x="34"/>
        <item m="1" x="54"/>
        <item m="1" x="1"/>
      </items>
    </pivotField>
    <pivotField axis="axisRow" compact="0" outline="0" showAll="0" defaultSubtotal="0">
      <items count="7">
        <item m="1" x="2"/>
        <item x="0"/>
        <item m="1" x="3"/>
        <item m="1" x="4"/>
        <item m="1" x="5"/>
        <item m="1" x="6"/>
        <item m="1" x="1"/>
      </items>
    </pivotField>
    <pivotField axis="axisRow" compact="0" outline="0" showAll="0" defaultSubtotal="0">
      <items count="5">
        <item m="1" x="4"/>
        <item m="1" x="2"/>
        <item x="0"/>
        <item m="1" x="3"/>
        <item m="1" x="1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10"/>
      <x v="1"/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3">
        <item m="1" x="2"/>
        <item m="1" x="1"/>
        <item x="0"/>
      </items>
    </pivotField>
    <pivotField axis="axisRow" compact="0" outline="0" showAll="0" defaultSubtotal="0">
      <items count="3">
        <item m="1" x="2"/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 v="2"/>
      <x v="2"/>
    </i>
    <i r="1">
      <x v="5"/>
      <x v="2"/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5">
        <item m="1" x="16"/>
        <item m="1" x="7"/>
        <item m="1" x="23"/>
        <item m="1" x="32"/>
        <item m="1" x="45"/>
        <item m="1" x="44"/>
        <item m="1" x="8"/>
        <item m="1" x="109"/>
        <item m="1" x="87"/>
        <item m="1" x="50"/>
        <item m="1" x="37"/>
        <item m="1" x="41"/>
        <item m="1" x="123"/>
        <item m="1" x="26"/>
        <item m="1" x="108"/>
        <item m="1" x="30"/>
        <item m="1" x="81"/>
        <item m="1" x="95"/>
        <item m="1" x="5"/>
        <item m="1" x="31"/>
        <item m="1" x="118"/>
        <item m="1" x="20"/>
        <item m="1" x="110"/>
        <item m="1" x="9"/>
        <item m="1" x="36"/>
        <item m="1" x="62"/>
        <item m="1" x="6"/>
        <item m="1" x="12"/>
        <item m="1" x="82"/>
        <item m="1" x="63"/>
        <item m="1" x="97"/>
        <item m="1" x="53"/>
        <item m="1" x="17"/>
        <item m="1" x="47"/>
        <item m="1" x="83"/>
        <item m="1" x="68"/>
        <item m="1" x="18"/>
        <item m="1" x="28"/>
        <item m="1" x="90"/>
        <item m="1" x="4"/>
        <item m="1" x="117"/>
        <item m="1" x="75"/>
        <item m="1" x="15"/>
        <item m="1" x="100"/>
        <item m="1" x="46"/>
        <item m="1" x="119"/>
        <item m="1" x="80"/>
        <item m="1" x="22"/>
        <item m="1" x="67"/>
        <item m="1" x="86"/>
        <item m="1" x="99"/>
        <item m="1" x="107"/>
        <item m="1" x="116"/>
        <item m="1" x="3"/>
        <item m="1" x="21"/>
        <item m="1" x="35"/>
        <item m="1" x="24"/>
        <item m="1" x="2"/>
        <item m="1" x="96"/>
        <item m="1" x="113"/>
        <item m="1" x="39"/>
        <item m="1" x="74"/>
        <item m="1" x="27"/>
        <item m="1" x="48"/>
        <item m="1" x="33"/>
        <item m="1" x="57"/>
        <item m="1" x="42"/>
        <item m="1" x="64"/>
        <item m="1" x="49"/>
        <item m="1" x="76"/>
        <item m="1" x="58"/>
        <item m="1" x="84"/>
        <item m="1" x="65"/>
        <item m="1" x="93"/>
        <item m="1" x="77"/>
        <item m="1" x="98"/>
        <item m="1" x="85"/>
        <item m="1" x="102"/>
        <item m="1" x="114"/>
        <item m="1" x="104"/>
        <item m="1" x="88"/>
        <item m="1" x="61"/>
        <item m="1" x="40"/>
        <item m="1" x="55"/>
        <item m="1" x="19"/>
        <item m="1" x="25"/>
        <item m="1" x="34"/>
        <item m="1" x="38"/>
        <item m="1" x="70"/>
        <item m="1" x="115"/>
        <item m="1" x="105"/>
        <item m="1" x="89"/>
        <item m="1" x="56"/>
        <item m="1" x="124"/>
        <item m="1" x="72"/>
        <item m="1" x="60"/>
        <item m="1" x="92"/>
        <item m="1" x="73"/>
        <item m="1" x="52"/>
        <item m="1" x="59"/>
        <item m="1" x="13"/>
        <item m="1" x="78"/>
        <item m="1" x="94"/>
        <item m="1" x="103"/>
        <item m="1" x="111"/>
        <item m="1" x="122"/>
        <item m="1" x="10"/>
        <item m="1" x="29"/>
        <item m="1" x="121"/>
        <item m="1" x="11"/>
        <item m="1" x="79"/>
        <item m="1" x="54"/>
        <item m="1" x="69"/>
        <item m="1" x="14"/>
        <item m="1" x="120"/>
        <item m="1" x="101"/>
        <item m="1" x="51"/>
        <item m="1" x="112"/>
        <item m="1" x="71"/>
        <item m="1" x="91"/>
        <item m="1" x="106"/>
        <item m="1" x="43"/>
        <item m="1" x="66"/>
        <item m="1" x="1"/>
        <item x="0"/>
      </items>
    </pivotField>
    <pivotField axis="axisRow" compact="0" outline="0" showAll="0" defaultSubtotal="0">
      <items count="8">
        <item m="1" x="6"/>
        <item m="1" x="4"/>
        <item m="1" x="3"/>
        <item m="1" x="7"/>
        <item m="1" x="2"/>
        <item m="1" x="5"/>
        <item m="1" x="1"/>
        <item x="0"/>
      </items>
    </pivotField>
    <pivotField axis="axisRow" compact="0" outline="0" showAll="0" defaultSubtotal="0">
      <items count="6">
        <item m="1" x="4"/>
        <item m="1" x="2"/>
        <item m="1" x="3"/>
        <item m="1" x="5"/>
        <item m="1" x="1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124"/>
      <x v="7"/>
      <x v="5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5" tableType="queryTable" totalsRowShown="0">
  <autoFilter ref="A1:Y5" xr:uid="{C3D003CA-1AFF-426C-A03D-D3AF5760DF1A}"/>
  <sortState xmlns:xlrd2="http://schemas.microsoft.com/office/spreadsheetml/2017/richdata2" ref="A2:Y5">
    <sortCondition ref="D1:D5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5" tableType="queryTable" totalsRowShown="0">
  <autoFilter ref="A1:U25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9" tableType="queryTable" totalsRowShown="0">
  <autoFilter ref="A1:O9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5" tableType="queryTable" totalsRowShown="0">
  <autoFilter ref="A1:P5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4.85546875" bestFit="1" customWidth="1"/>
    <col min="2" max="2" width="59.28515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69</v>
      </c>
      <c r="D2">
        <v>2</v>
      </c>
      <c r="E2">
        <v>4</v>
      </c>
      <c r="F2">
        <v>480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4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2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70</v>
      </c>
      <c r="C3" t="s">
        <v>70</v>
      </c>
      <c r="D3" t="s">
        <v>70</v>
      </c>
      <c r="E3" s="5">
        <v>28.3812434489654</v>
      </c>
      <c r="F3" s="5">
        <v>1</v>
      </c>
      <c r="G3" s="5">
        <v>22.812466592142457</v>
      </c>
      <c r="H3" s="5">
        <v>14.336434556188861</v>
      </c>
      <c r="I3" s="5">
        <v>11.227803929732</v>
      </c>
      <c r="J3" s="5">
        <v>42.0944464980399</v>
      </c>
      <c r="K3" s="5">
        <v>0</v>
      </c>
      <c r="L3" s="5">
        <v>80.819856605674701</v>
      </c>
      <c r="M3" s="5">
        <v>196.5</v>
      </c>
      <c r="O3" t="s">
        <v>67</v>
      </c>
      <c r="P3" t="s">
        <v>70</v>
      </c>
      <c r="Q3" t="s">
        <v>70</v>
      </c>
      <c r="R3" t="s">
        <v>70</v>
      </c>
      <c r="S3" s="5">
        <v>8.0292898613665127</v>
      </c>
      <c r="T3" s="5">
        <v>19.79368359238768</v>
      </c>
      <c r="U3" s="5">
        <v>12.439288329562636</v>
      </c>
      <c r="V3" s="5">
        <v>0.391666666666667</v>
      </c>
      <c r="W3" s="5">
        <v>38.013038505588199</v>
      </c>
      <c r="X3" s="5">
        <v>0</v>
      </c>
      <c r="Y3" s="5">
        <v>81</v>
      </c>
      <c r="AA3" t="s">
        <v>67</v>
      </c>
      <c r="AB3" t="s">
        <v>71</v>
      </c>
      <c r="AC3" t="s">
        <v>70</v>
      </c>
      <c r="AD3" t="s">
        <v>70</v>
      </c>
      <c r="AE3" s="5">
        <v>20</v>
      </c>
      <c r="AF3" s="5">
        <v>7.2337968253934202</v>
      </c>
      <c r="AG3" s="5">
        <v>4.5460605656619517</v>
      </c>
      <c r="AH3" s="5">
        <v>14</v>
      </c>
      <c r="AI3" s="5">
        <v>25</v>
      </c>
      <c r="AK3" t="s">
        <v>67</v>
      </c>
      <c r="AL3" t="s">
        <v>73</v>
      </c>
      <c r="AM3" t="s">
        <v>74</v>
      </c>
      <c r="AN3" t="s">
        <v>75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AB4" t="s">
        <v>72</v>
      </c>
      <c r="AC4" t="s">
        <v>70</v>
      </c>
      <c r="AD4" t="s">
        <v>70</v>
      </c>
      <c r="AE4" s="5">
        <v>23</v>
      </c>
      <c r="AF4" s="5">
        <v>4.684434123032382</v>
      </c>
      <c r="AG4" s="5">
        <v>2.9439202887759488</v>
      </c>
      <c r="AH4" s="5">
        <v>20</v>
      </c>
      <c r="AI4" s="5">
        <v>27</v>
      </c>
    </row>
  </sheetData>
  <dataConsolidate/>
  <conditionalFormatting pivot="1" sqref="G3">
    <cfRule type="expression" dxfId="29" priority="10">
      <formula>G3=200000000000000000000</formula>
    </cfRule>
  </conditionalFormatting>
  <conditionalFormatting pivot="1" sqref="T3">
    <cfRule type="expression" dxfId="28" priority="9">
      <formula>T3=200000000000000000000</formula>
    </cfRule>
  </conditionalFormatting>
  <conditionalFormatting pivot="1" sqref="T3">
    <cfRule type="expression" dxfId="27" priority="8">
      <formula>T3=300000000000000000000</formula>
    </cfRule>
  </conditionalFormatting>
  <conditionalFormatting pivot="1" sqref="G3">
    <cfRule type="expression" dxfId="26" priority="7">
      <formula>G3=300000000000000000000</formula>
    </cfRule>
  </conditionalFormatting>
  <conditionalFormatting pivot="1" sqref="F3">
    <cfRule type="expression" dxfId="25" priority="6">
      <formula>F3=0</formula>
    </cfRule>
  </conditionalFormatting>
  <conditionalFormatting pivot="1" sqref="F3">
    <cfRule type="expression" dxfId="24" priority="5">
      <formula>F3=1</formula>
    </cfRule>
  </conditionalFormatting>
  <conditionalFormatting pivot="1" sqref="T3">
    <cfRule type="expression" dxfId="23" priority="4">
      <formula>T3=400000000000000000000</formula>
    </cfRule>
  </conditionalFormatting>
  <conditionalFormatting pivot="1" sqref="AP3">
    <cfRule type="expression" dxfId="22" priority="3">
      <formula>AP3=400000000000000000000</formula>
    </cfRule>
  </conditionalFormatting>
  <conditionalFormatting pivot="1" sqref="AF3:AF4">
    <cfRule type="expression" dxfId="21" priority="2">
      <formula>AF3=400000000000000000000</formula>
    </cfRule>
  </conditionalFormatting>
  <conditionalFormatting pivot="1" sqref="G3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5"/>
  <sheetViews>
    <sheetView workbookViewId="0">
      <selection activeCell="K2" sqref="K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24.710937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69</v>
      </c>
      <c r="C2">
        <v>1</v>
      </c>
      <c r="D2" t="s">
        <v>70</v>
      </c>
      <c r="E2" t="s">
        <v>70</v>
      </c>
      <c r="F2" t="s">
        <v>70</v>
      </c>
      <c r="G2">
        <v>42.0944464980399</v>
      </c>
      <c r="H2">
        <v>2E+20</v>
      </c>
      <c r="I2">
        <v>0</v>
      </c>
      <c r="J2">
        <v>79.491871718131506</v>
      </c>
      <c r="K2">
        <v>188</v>
      </c>
      <c r="L2" t="str">
        <f>DiscreteStatsTable[[#This Row],[ProjectName]]&amp;DiscreteStatsTable[[#This Row],[Name]]&amp;DiscreteStatsTable[[#This Row],[Type]]&amp;DiscreteStatsTable[[#This Row],[Source]]</f>
        <v>IE306HW4NoneNoneNone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4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28.3812434489654</v>
      </c>
      <c r="O2">
        <f t="array" ref="O2">IFERROR(_xlfn.STDEV.S(IF((DiscreteStatsTable[GroupByKey]=DiscreteStatsTable[[#This Row],[GroupByKey]]),(DiscreteStatsTable[GroupByKey]=DiscreteStatsTable[[#This Row],[GroupByKey]])*DiscreteStatsTable[Average])),0)</f>
        <v>14.336434556188861</v>
      </c>
      <c r="P2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22.812466592142457</v>
      </c>
      <c r="R2">
        <f t="array" ref="R2">MIN(IF((DiscreteStatsTable[GroupByKey]=DiscreteStatsTable[[#This Row],[GroupByKey]]),(DiscreteStatsTable[GroupByKey]=DiscreteStatsTable[[#This Row],[GroupByKey]])*DiscreteStatsTable[Average]))</f>
        <v>11.227803929732</v>
      </c>
      <c r="S2">
        <f t="array" ref="S2">MAX(IF((DiscreteStatsTable[GroupByKey]=DiscreteStatsTable[[#This Row],[GroupByKey]]),(DiscreteStatsTable[GroupByKey]=DiscreteStatsTable[[#This Row],[GroupByKey]])*DiscreteStatsTable[Average]))</f>
        <v>42.0944464980399</v>
      </c>
      <c r="T2">
        <f t="array" ref="T2">MIN(IF((DiscreteStatsTable[GroupByKey]=DiscreteStatsTable[[#This Row],[GroupByKey]]),(DiscreteStatsTable[GroupByKey]=DiscreteStatsTable[[#This Row],[GroupByKey]])*DiscreteStatsTable[Minimum]))</f>
        <v>0</v>
      </c>
      <c r="U2">
        <f t="array" ref="U2">MAX(IF((DiscreteStatsTable[GroupByKey]=DiscreteStatsTable[[#This Row],[GroupByKey]]),(DiscreteStatsTable[GroupByKey]=DiscreteStatsTable[[#This Row],[GroupByKey]])*DiscreteStatsTable[Maximum]))</f>
        <v>80.819856605674701</v>
      </c>
      <c r="V2">
        <f t="array" ref="V2">IFERROR(AVERAGE(IF((DiscreteStatsTable[GroupByKey]=DiscreteStatsTable[[#This Row],[GroupByKey]]),(DiscreteStatsTable[GroupByKey]=DiscreteStatsTable[[#This Row],[GroupByKey]])*DiscreteStatsTable[NumberObservations])),0)</f>
        <v>196.5</v>
      </c>
      <c r="W2">
        <f>IF((DiscreteStatsTable[[#This Row],[RepsRequested]]&gt;1),DiscreteStatsTable[[#This Row],[HalfWidth]],DiscreteStatsTable[[#This Row],[BatchMeansHalfWidth]])</f>
        <v>22.812466592142457</v>
      </c>
      <c r="X2">
        <f t="array" ref="X2">COUNT(IF((DiscreteStatsTable[GroupByKey]=DiscreteStatsTable[[#This Row],[GroupByKey]]),(DiscreteStatsTable[GroupByKey]=DiscreteStatsTable[[#This Row],[GroupByKey]])*DiscreteStatsTable[Replication]))</f>
        <v>4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69</v>
      </c>
      <c r="C3">
        <v>2</v>
      </c>
      <c r="D3" t="s">
        <v>70</v>
      </c>
      <c r="E3" t="s">
        <v>70</v>
      </c>
      <c r="F3" t="s">
        <v>70</v>
      </c>
      <c r="G3">
        <v>22.089182559074899</v>
      </c>
      <c r="H3">
        <v>2E+20</v>
      </c>
      <c r="I3">
        <v>0</v>
      </c>
      <c r="J3">
        <v>43.155804196061702</v>
      </c>
      <c r="K3">
        <v>199</v>
      </c>
      <c r="L3" t="str">
        <f>DiscreteStatsTable[[#This Row],[ProjectName]]&amp;DiscreteStatsTable[[#This Row],[Name]]&amp;DiscreteStatsTable[[#This Row],[Type]]&amp;DiscreteStatsTable[[#This Row],[Source]]</f>
        <v>IE306HW4NoneNoneNone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4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28.3812434489654</v>
      </c>
      <c r="O3">
        <f t="array" ref="O3">IFERROR(_xlfn.STDEV.S(IF((DiscreteStatsTable[GroupByKey]=DiscreteStatsTable[[#This Row],[GroupByKey]]),(DiscreteStatsTable[GroupByKey]=DiscreteStatsTable[[#This Row],[GroupByKey]])*DiscreteStatsTable[Average])),0)</f>
        <v>14.336434556188861</v>
      </c>
      <c r="P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22.812466592142457</v>
      </c>
      <c r="R3">
        <f t="array" ref="R3">MIN(IF((DiscreteStatsTable[GroupByKey]=DiscreteStatsTable[[#This Row],[GroupByKey]]),(DiscreteStatsTable[GroupByKey]=DiscreteStatsTable[[#This Row],[GroupByKey]])*DiscreteStatsTable[Average]))</f>
        <v>11.227803929732</v>
      </c>
      <c r="S3">
        <f t="array" ref="S3">MAX(IF((DiscreteStatsTable[GroupByKey]=DiscreteStatsTable[[#This Row],[GroupByKey]]),(DiscreteStatsTable[GroupByKey]=DiscreteStatsTable[[#This Row],[GroupByKey]])*DiscreteStatsTable[Average]))</f>
        <v>42.0944464980399</v>
      </c>
      <c r="T3">
        <f t="array" ref="T3">MIN(IF((DiscreteStatsTable[GroupByKey]=DiscreteStatsTable[[#This Row],[GroupByKey]]),(DiscreteStatsTable[GroupByKey]=DiscreteStatsTable[[#This Row],[GroupByKey]])*DiscreteStatsTable[Minimum]))</f>
        <v>0</v>
      </c>
      <c r="U3">
        <f t="array" ref="U3">MAX(IF((DiscreteStatsTable[GroupByKey]=DiscreteStatsTable[[#This Row],[GroupByKey]]),(DiscreteStatsTable[GroupByKey]=DiscreteStatsTable[[#This Row],[GroupByKey]])*DiscreteStatsTable[Maximum]))</f>
        <v>80.819856605674701</v>
      </c>
      <c r="V3">
        <f t="array" ref="V3">IFERROR(AVERAGE(IF((DiscreteStatsTable[GroupByKey]=DiscreteStatsTable[[#This Row],[GroupByKey]]),(DiscreteStatsTable[GroupByKey]=DiscreteStatsTable[[#This Row],[GroupByKey]])*DiscreteStatsTable[NumberObservations])),0)</f>
        <v>196.5</v>
      </c>
      <c r="W3">
        <f>IF((DiscreteStatsTable[[#This Row],[RepsRequested]]&gt;1),DiscreteStatsTable[[#This Row],[HalfWidth]],DiscreteStatsTable[[#This Row],[BatchMeansHalfWidth]])</f>
        <v>22.812466592142457</v>
      </c>
      <c r="X3">
        <f t="array" ref="X3">COUNT(IF((DiscreteStatsTable[GroupByKey]=DiscreteStatsTable[[#This Row],[GroupByKey]]),(DiscreteStatsTable[GroupByKey]=DiscreteStatsTable[[#This Row],[GroupByKey]])*DiscreteStatsTable[Replication]))</f>
        <v>4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69</v>
      </c>
      <c r="C4">
        <v>3</v>
      </c>
      <c r="D4" t="s">
        <v>70</v>
      </c>
      <c r="E4" t="s">
        <v>70</v>
      </c>
      <c r="F4" t="s">
        <v>70</v>
      </c>
      <c r="G4">
        <v>11.227803929732</v>
      </c>
      <c r="H4">
        <v>2E+20</v>
      </c>
      <c r="I4">
        <v>0</v>
      </c>
      <c r="J4">
        <v>38.1340974370775</v>
      </c>
      <c r="K4">
        <v>202</v>
      </c>
      <c r="L4" t="str">
        <f>DiscreteStatsTable[[#This Row],[ProjectName]]&amp;DiscreteStatsTable[[#This Row],[Name]]&amp;DiscreteStatsTable[[#This Row],[Type]]&amp;DiscreteStatsTable[[#This Row],[Source]]</f>
        <v>IE306HW4NoneNoneNone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4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28.3812434489654</v>
      </c>
      <c r="O4">
        <f t="array" ref="O4">IFERROR(_xlfn.STDEV.S(IF((DiscreteStatsTable[GroupByKey]=DiscreteStatsTable[[#This Row],[GroupByKey]]),(DiscreteStatsTable[GroupByKey]=DiscreteStatsTable[[#This Row],[GroupByKey]])*DiscreteStatsTable[Average])),0)</f>
        <v>14.336434556188861</v>
      </c>
      <c r="P4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22.812466592142457</v>
      </c>
      <c r="R4">
        <f t="array" ref="R4">MIN(IF((DiscreteStatsTable[GroupByKey]=DiscreteStatsTable[[#This Row],[GroupByKey]]),(DiscreteStatsTable[GroupByKey]=DiscreteStatsTable[[#This Row],[GroupByKey]])*DiscreteStatsTable[Average]))</f>
        <v>11.227803929732</v>
      </c>
      <c r="S4">
        <f t="array" ref="S4">MAX(IF((DiscreteStatsTable[GroupByKey]=DiscreteStatsTable[[#This Row],[GroupByKey]]),(DiscreteStatsTable[GroupByKey]=DiscreteStatsTable[[#This Row],[GroupByKey]])*DiscreteStatsTable[Average]))</f>
        <v>42.0944464980399</v>
      </c>
      <c r="T4">
        <f t="array" ref="T4">MIN(IF((DiscreteStatsTable[GroupByKey]=DiscreteStatsTable[[#This Row],[GroupByKey]]),(DiscreteStatsTable[GroupByKey]=DiscreteStatsTable[[#This Row],[GroupByKey]])*DiscreteStatsTable[Minimum]))</f>
        <v>0</v>
      </c>
      <c r="U4">
        <f t="array" ref="U4">MAX(IF((DiscreteStatsTable[GroupByKey]=DiscreteStatsTable[[#This Row],[GroupByKey]]),(DiscreteStatsTable[GroupByKey]=DiscreteStatsTable[[#This Row],[GroupByKey]])*DiscreteStatsTable[Maximum]))</f>
        <v>80.819856605674701</v>
      </c>
      <c r="V4">
        <f t="array" ref="V4">IFERROR(AVERAGE(IF((DiscreteStatsTable[GroupByKey]=DiscreteStatsTable[[#This Row],[GroupByKey]]),(DiscreteStatsTable[GroupByKey]=DiscreteStatsTable[[#This Row],[GroupByKey]])*DiscreteStatsTable[NumberObservations])),0)</f>
        <v>196.5</v>
      </c>
      <c r="W4">
        <f>IF((DiscreteStatsTable[[#This Row],[RepsRequested]]&gt;1),DiscreteStatsTable[[#This Row],[HalfWidth]],DiscreteStatsTable[[#This Row],[BatchMeansHalfWidth]])</f>
        <v>22.812466592142457</v>
      </c>
      <c r="X4">
        <f t="array" ref="X4">COUNT(IF((DiscreteStatsTable[GroupByKey]=DiscreteStatsTable[[#This Row],[GroupByKey]]),(DiscreteStatsTable[GroupByKey]=DiscreteStatsTable[[#This Row],[GroupByKey]])*DiscreteStatsTable[Replication]))</f>
        <v>4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69</v>
      </c>
      <c r="C5">
        <v>4</v>
      </c>
      <c r="D5" t="s">
        <v>70</v>
      </c>
      <c r="E5" t="s">
        <v>70</v>
      </c>
      <c r="F5" t="s">
        <v>70</v>
      </c>
      <c r="G5">
        <v>38.1135408090148</v>
      </c>
      <c r="H5">
        <v>2E+20</v>
      </c>
      <c r="I5">
        <v>0</v>
      </c>
      <c r="J5">
        <v>80.819856605674701</v>
      </c>
      <c r="K5">
        <v>197</v>
      </c>
      <c r="L5" t="str">
        <f>DiscreteStatsTable[[#This Row],[ProjectName]]&amp;DiscreteStatsTable[[#This Row],[Name]]&amp;DiscreteStatsTable[[#This Row],[Type]]&amp;DiscreteStatsTable[[#This Row],[Source]]</f>
        <v>IE306HW4NoneNoneNone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4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28.3812434489654</v>
      </c>
      <c r="O5">
        <f t="array" ref="O5">IFERROR(_xlfn.STDEV.S(IF((DiscreteStatsTable[GroupByKey]=DiscreteStatsTable[[#This Row],[GroupByKey]]),(DiscreteStatsTable[GroupByKey]=DiscreteStatsTable[[#This Row],[GroupByKey]])*DiscreteStatsTable[Average])),0)</f>
        <v>14.336434556188861</v>
      </c>
      <c r="P5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22.812466592142457</v>
      </c>
      <c r="R5">
        <f t="array" ref="R5">MIN(IF((DiscreteStatsTable[GroupByKey]=DiscreteStatsTable[[#This Row],[GroupByKey]]),(DiscreteStatsTable[GroupByKey]=DiscreteStatsTable[[#This Row],[GroupByKey]])*DiscreteStatsTable[Average]))</f>
        <v>11.227803929732</v>
      </c>
      <c r="S5">
        <f t="array" ref="S5">MAX(IF((DiscreteStatsTable[GroupByKey]=DiscreteStatsTable[[#This Row],[GroupByKey]]),(DiscreteStatsTable[GroupByKey]=DiscreteStatsTable[[#This Row],[GroupByKey]])*DiscreteStatsTable[Average]))</f>
        <v>42.0944464980399</v>
      </c>
      <c r="T5">
        <f t="array" ref="T5">MIN(IF((DiscreteStatsTable[GroupByKey]=DiscreteStatsTable[[#This Row],[GroupByKey]]),(DiscreteStatsTable[GroupByKey]=DiscreteStatsTable[[#This Row],[GroupByKey]])*DiscreteStatsTable[Minimum]))</f>
        <v>0</v>
      </c>
      <c r="U5">
        <f t="array" ref="U5">MAX(IF((DiscreteStatsTable[GroupByKey]=DiscreteStatsTable[[#This Row],[GroupByKey]]),(DiscreteStatsTable[GroupByKey]=DiscreteStatsTable[[#This Row],[GroupByKey]])*DiscreteStatsTable[Maximum]))</f>
        <v>80.819856605674701</v>
      </c>
      <c r="V5">
        <f t="array" ref="V5">IFERROR(AVERAGE(IF((DiscreteStatsTable[GroupByKey]=DiscreteStatsTable[[#This Row],[GroupByKey]]),(DiscreteStatsTable[GroupByKey]=DiscreteStatsTable[[#This Row],[GroupByKey]])*DiscreteStatsTable[NumberObservations])),0)</f>
        <v>196.5</v>
      </c>
      <c r="W5">
        <f>IF((DiscreteStatsTable[[#This Row],[RepsRequested]]&gt;1),DiscreteStatsTable[[#This Row],[HalfWidth]],DiscreteStatsTable[[#This Row],[BatchMeansHalfWidth]])</f>
        <v>22.812466592142457</v>
      </c>
      <c r="X5">
        <f t="array" ref="X5">COUNT(IF((DiscreteStatsTable[GroupByKey]=DiscreteStatsTable[[#This Row],[GroupByKey]]),(DiscreteStatsTable[GroupByKey]=DiscreteStatsTable[[#This Row],[GroupByKey]])*DiscreteStatsTable[Replication]))</f>
        <v>4</v>
      </c>
      <c r="Y5">
        <f>IF(DiscreteStatsTable[[#This Row],[RepsRequested]]=DiscreteStatsTable[[#This Row],[RepsWithStatObserved]],1,0)</f>
        <v>1</v>
      </c>
    </row>
  </sheetData>
  <phoneticPr fontId="2" type="noConversion"/>
  <conditionalFormatting sqref="H2:H5 Q2:Q5">
    <cfRule type="expression" dxfId="19" priority="23">
      <formula>H2=200000000000000000000</formula>
    </cfRule>
  </conditionalFormatting>
  <conditionalFormatting sqref="H2:H5">
    <cfRule type="expression" dxfId="18" priority="21">
      <formula>H2=300000000000000000000</formula>
    </cfRule>
  </conditionalFormatting>
  <conditionalFormatting sqref="L2:Y5">
    <cfRule type="expression" dxfId="17" priority="19">
      <formula>MOD(ROW(),2)=0</formula>
    </cfRule>
  </conditionalFormatting>
  <conditionalFormatting sqref="Y2:Y5">
    <cfRule type="expression" dxfId="16" priority="14">
      <formula>Y2=0</formula>
    </cfRule>
    <cfRule type="expression" dxfId="15" priority="16">
      <formula>Y2=1</formula>
    </cfRule>
  </conditionalFormatting>
  <conditionalFormatting sqref="Y3:Y5">
    <cfRule type="expression" dxfId="14" priority="15">
      <formula>Y3=1</formula>
    </cfRule>
  </conditionalFormatting>
  <conditionalFormatting sqref="W2:W5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5 W2:W5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5"/>
  <sheetViews>
    <sheetView workbookViewId="0">
      <selection activeCell="D2" sqref="D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24.710937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69</v>
      </c>
      <c r="C2">
        <v>1</v>
      </c>
      <c r="D2" t="s">
        <v>70</v>
      </c>
      <c r="E2" t="s">
        <v>70</v>
      </c>
      <c r="F2" t="s">
        <v>70</v>
      </c>
      <c r="G2">
        <v>0.83634401293147298</v>
      </c>
      <c r="H2">
        <v>2E+20</v>
      </c>
      <c r="I2">
        <v>0</v>
      </c>
      <c r="J2">
        <v>2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IE306HW4NoneNoneNone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4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2">
        <f t="array" ref="P2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2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2">
        <f t="array" ref="S2">MIN(IF((ContinuousStatsTable[GroupByKey]=ContinuousStatsTable[[#This Row],[GroupByKey]]),(ContinuousStatsTable[GroupByKey]=ContinuousStatsTable[[#This Row],[GroupByKey]])*ContinuousStatsTable[Average]))</f>
        <v>0.391666666666667</v>
      </c>
      <c r="T2">
        <f t="array" ref="T2">MAX(IF((ContinuousStatsTable[GroupByKey]=ContinuousStatsTable[[#This Row],[GroupByKey]]),(ContinuousStatsTable[GroupByKey]=ContinuousStatsTable[[#This Row],[GroupByKey]])*ContinuousStatsTable[Average]))</f>
        <v>38.013038505588199</v>
      </c>
      <c r="U2">
        <f>IF((ContinuousStatsTable[[#This Row],[RepsRequested]]&gt;1),ContinuousStatsTable[[#This Row],[HalfWidth]],ContinuousStatsTable[[#This Row],[BatchMeansHalfWidth]])</f>
        <v>19.79368359238768</v>
      </c>
    </row>
    <row r="3" spans="1:21" x14ac:dyDescent="0.25">
      <c r="A3" t="s">
        <v>67</v>
      </c>
      <c r="B3" t="s">
        <v>69</v>
      </c>
      <c r="C3">
        <v>1</v>
      </c>
      <c r="D3" t="s">
        <v>70</v>
      </c>
      <c r="E3" t="s">
        <v>70</v>
      </c>
      <c r="F3" t="s">
        <v>70</v>
      </c>
      <c r="G3">
        <v>1.10429142834448</v>
      </c>
      <c r="H3">
        <v>2E+20</v>
      </c>
      <c r="I3">
        <v>0</v>
      </c>
      <c r="J3">
        <v>2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IE306HW4NoneNoneNone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4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3">
        <f t="array" ref="P3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3">
        <f t="array" ref="S3">MIN(IF((ContinuousStatsTable[GroupByKey]=ContinuousStatsTable[[#This Row],[GroupByKey]]),(ContinuousStatsTable[GroupByKey]=ContinuousStatsTable[[#This Row],[GroupByKey]])*ContinuousStatsTable[Average]))</f>
        <v>0.391666666666667</v>
      </c>
      <c r="T3">
        <f t="array" ref="T3">MAX(IF((ContinuousStatsTable[GroupByKey]=ContinuousStatsTable[[#This Row],[GroupByKey]]),(ContinuousStatsTable[GroupByKey]=ContinuousStatsTable[[#This Row],[GroupByKey]])*ContinuousStatsTable[Average]))</f>
        <v>38.013038505588199</v>
      </c>
      <c r="U3">
        <f>IF((ContinuousStatsTable[[#This Row],[RepsRequested]]&gt;1),ContinuousStatsTable[[#This Row],[HalfWidth]],ContinuousStatsTable[[#This Row],[BatchMeansHalfWidth]])</f>
        <v>19.79368359238768</v>
      </c>
    </row>
    <row r="4" spans="1:21" x14ac:dyDescent="0.25">
      <c r="A4" t="s">
        <v>67</v>
      </c>
      <c r="B4" t="s">
        <v>69</v>
      </c>
      <c r="C4">
        <v>1</v>
      </c>
      <c r="D4" t="s">
        <v>70</v>
      </c>
      <c r="E4" t="s">
        <v>70</v>
      </c>
      <c r="F4" t="s">
        <v>70</v>
      </c>
      <c r="G4">
        <v>0.465845322995734</v>
      </c>
      <c r="H4">
        <v>2E+20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IE306HW4NoneNoneNone</v>
      </c>
      <c r="N4">
        <f t="array" ref="N4">MAX(IF((ProjectInfoTable[ProjectName]=ContinuousStatsTable[[#This Row],[ProjectName]]),(ProjectInfoTable[ProjectName]=ContinuousStatsTable[[#This Row],[ProjectName]])*ProjectInfoTable[NumberOfReplications]))</f>
        <v>4</v>
      </c>
      <c r="O4">
        <f t="array" ref="O4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4">
        <f t="array" ref="P4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4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4">
        <f t="array" ref="S4">MIN(IF((ContinuousStatsTable[GroupByKey]=ContinuousStatsTable[[#This Row],[GroupByKey]]),(ContinuousStatsTable[GroupByKey]=ContinuousStatsTable[[#This Row],[GroupByKey]])*ContinuousStatsTable[Average]))</f>
        <v>0.391666666666667</v>
      </c>
      <c r="T4">
        <f t="array" ref="T4">MAX(IF((ContinuousStatsTable[GroupByKey]=ContinuousStatsTable[[#This Row],[GroupByKey]]),(ContinuousStatsTable[GroupByKey]=ContinuousStatsTable[[#This Row],[GroupByKey]])*ContinuousStatsTable[Average]))</f>
        <v>38.013038505588199</v>
      </c>
      <c r="U4">
        <f>IF((ContinuousStatsTable[[#This Row],[RepsRequested]]&gt;1),ContinuousStatsTable[[#This Row],[HalfWidth]],ContinuousStatsTable[[#This Row],[BatchMeansHalfWidth]])</f>
        <v>19.79368359238768</v>
      </c>
    </row>
    <row r="5" spans="1:21" x14ac:dyDescent="0.25">
      <c r="A5" t="s">
        <v>67</v>
      </c>
      <c r="B5" t="s">
        <v>69</v>
      </c>
      <c r="C5">
        <v>1</v>
      </c>
      <c r="D5" t="s">
        <v>70</v>
      </c>
      <c r="E5" t="s">
        <v>70</v>
      </c>
      <c r="F5" t="s">
        <v>70</v>
      </c>
      <c r="G5">
        <v>0.52500000000000002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IE306HW4NoneNoneNone</v>
      </c>
      <c r="N5">
        <f t="array" ref="N5">MAX(IF((ProjectInfoTable[ProjectName]=ContinuousStatsTable[[#This Row],[ProjectName]]),(ProjectInfoTable[ProjectName]=ContinuousStatsTable[[#This Row],[ProjectName]])*ProjectInfoTable[NumberOfReplications]))</f>
        <v>4</v>
      </c>
      <c r="O5">
        <f t="array" ref="O5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5">
        <f t="array" ref="P5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5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5">
        <f t="array" ref="S5">MIN(IF((ContinuousStatsTable[GroupByKey]=ContinuousStatsTable[[#This Row],[GroupByKey]]),(ContinuousStatsTable[GroupByKey]=ContinuousStatsTable[[#This Row],[GroupByKey]])*ContinuousStatsTable[Average]))</f>
        <v>0.391666666666667</v>
      </c>
      <c r="T5">
        <f t="array" ref="T5">MAX(IF((ContinuousStatsTable[GroupByKey]=ContinuousStatsTable[[#This Row],[GroupByKey]]),(ContinuousStatsTable[GroupByKey]=ContinuousStatsTable[[#This Row],[GroupByKey]])*ContinuousStatsTable[Average]))</f>
        <v>38.013038505588199</v>
      </c>
      <c r="U5">
        <f>IF((ContinuousStatsTable[[#This Row],[RepsRequested]]&gt;1),ContinuousStatsTable[[#This Row],[HalfWidth]],ContinuousStatsTable[[#This Row],[BatchMeansHalfWidth]])</f>
        <v>19.79368359238768</v>
      </c>
    </row>
    <row r="6" spans="1:21" x14ac:dyDescent="0.25">
      <c r="A6" t="s">
        <v>67</v>
      </c>
      <c r="B6" t="s">
        <v>69</v>
      </c>
      <c r="C6">
        <v>1</v>
      </c>
      <c r="D6" t="s">
        <v>70</v>
      </c>
      <c r="E6" t="s">
        <v>70</v>
      </c>
      <c r="F6" t="s">
        <v>70</v>
      </c>
      <c r="G6">
        <v>17.8359843823444</v>
      </c>
      <c r="H6">
        <v>3E+20</v>
      </c>
      <c r="I6">
        <v>0</v>
      </c>
      <c r="J6">
        <v>33</v>
      </c>
      <c r="K6">
        <v>26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IE306HW4NoneNoneNone</v>
      </c>
      <c r="N6">
        <f t="array" ref="N6">MAX(IF((ProjectInfoTable[ProjectName]=ContinuousStatsTable[[#This Row],[ProjectName]]),(ProjectInfoTable[ProjectName]=ContinuousStatsTable[[#This Row],[ProjectName]])*ProjectInfoTable[NumberOfReplications]))</f>
        <v>4</v>
      </c>
      <c r="O6">
        <f t="array" ref="O6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6">
        <f t="array" ref="P6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6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6">
        <f t="array" ref="S6">MIN(IF((ContinuousStatsTable[GroupByKey]=ContinuousStatsTable[[#This Row],[GroupByKey]]),(ContinuousStatsTable[GroupByKey]=ContinuousStatsTable[[#This Row],[GroupByKey]])*ContinuousStatsTable[Average]))</f>
        <v>0.391666666666667</v>
      </c>
      <c r="T6">
        <f t="array" ref="T6">MAX(IF((ContinuousStatsTable[GroupByKey]=ContinuousStatsTable[[#This Row],[GroupByKey]]),(ContinuousStatsTable[GroupByKey]=ContinuousStatsTable[[#This Row],[GroupByKey]])*ContinuousStatsTable[Average]))</f>
        <v>38.013038505588199</v>
      </c>
      <c r="U6">
        <f>IF((ContinuousStatsTable[[#This Row],[RepsRequested]]&gt;1),ContinuousStatsTable[[#This Row],[HalfWidth]],ContinuousStatsTable[[#This Row],[BatchMeansHalfWidth]])</f>
        <v>19.79368359238768</v>
      </c>
    </row>
    <row r="7" spans="1:21" x14ac:dyDescent="0.25">
      <c r="A7" t="s">
        <v>67</v>
      </c>
      <c r="B7" t="s">
        <v>69</v>
      </c>
      <c r="C7">
        <v>1</v>
      </c>
      <c r="D7" t="s">
        <v>70</v>
      </c>
      <c r="E7" t="s">
        <v>70</v>
      </c>
      <c r="F7" t="s">
        <v>70</v>
      </c>
      <c r="G7">
        <v>28.848541422894801</v>
      </c>
      <c r="H7">
        <v>3E+20</v>
      </c>
      <c r="I7">
        <v>0</v>
      </c>
      <c r="J7">
        <v>72</v>
      </c>
      <c r="K7">
        <v>71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IE306HW4NoneNoneNone</v>
      </c>
      <c r="N7">
        <f t="array" ref="N7">MAX(IF((ProjectInfoTable[ProjectName]=ContinuousStatsTable[[#This Row],[ProjectName]]),(ProjectInfoTable[ProjectName]=ContinuousStatsTable[[#This Row],[ProjectName]])*ProjectInfoTable[NumberOfReplications]))</f>
        <v>4</v>
      </c>
      <c r="O7">
        <f t="array" ref="O7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7">
        <f t="array" ref="P7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7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7">
        <f t="array" ref="S7">MIN(IF((ContinuousStatsTable[GroupByKey]=ContinuousStatsTable[[#This Row],[GroupByKey]]),(ContinuousStatsTable[GroupByKey]=ContinuousStatsTable[[#This Row],[GroupByKey]])*ContinuousStatsTable[Average]))</f>
        <v>0.391666666666667</v>
      </c>
      <c r="T7">
        <f t="array" ref="T7">MAX(IF((ContinuousStatsTable[GroupByKey]=ContinuousStatsTable[[#This Row],[GroupByKey]]),(ContinuousStatsTable[GroupByKey]=ContinuousStatsTable[[#This Row],[GroupByKey]])*ContinuousStatsTable[Average]))</f>
        <v>38.013038505588199</v>
      </c>
      <c r="U7">
        <f>IF((ContinuousStatsTable[[#This Row],[RepsRequested]]&gt;1),ContinuousStatsTable[[#This Row],[HalfWidth]],ContinuousStatsTable[[#This Row],[BatchMeansHalfWidth]])</f>
        <v>19.79368359238768</v>
      </c>
    </row>
    <row r="8" spans="1:21" x14ac:dyDescent="0.25">
      <c r="A8" t="s">
        <v>67</v>
      </c>
      <c r="B8" t="s">
        <v>69</v>
      </c>
      <c r="C8">
        <v>2</v>
      </c>
      <c r="D8" t="s">
        <v>70</v>
      </c>
      <c r="E8" t="s">
        <v>70</v>
      </c>
      <c r="F8" t="s">
        <v>70</v>
      </c>
      <c r="G8">
        <v>0.80414972986905497</v>
      </c>
      <c r="H8">
        <v>2E+20</v>
      </c>
      <c r="I8">
        <v>0</v>
      </c>
      <c r="J8">
        <v>2</v>
      </c>
      <c r="K8">
        <v>2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IE306HW4NoneNoneNone</v>
      </c>
      <c r="N8">
        <f t="array" ref="N8">MAX(IF((ProjectInfoTable[ProjectName]=ContinuousStatsTable[[#This Row],[ProjectName]]),(ProjectInfoTable[ProjectName]=ContinuousStatsTable[[#This Row],[ProjectName]])*ProjectInfoTable[NumberOfReplications]))</f>
        <v>4</v>
      </c>
      <c r="O8">
        <f t="array" ref="O8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8">
        <f t="array" ref="P8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8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8">
        <f t="array" ref="S8">MIN(IF((ContinuousStatsTable[GroupByKey]=ContinuousStatsTable[[#This Row],[GroupByKey]]),(ContinuousStatsTable[GroupByKey]=ContinuousStatsTable[[#This Row],[GroupByKey]])*ContinuousStatsTable[Average]))</f>
        <v>0.391666666666667</v>
      </c>
      <c r="T8">
        <f t="array" ref="T8">MAX(IF((ContinuousStatsTable[GroupByKey]=ContinuousStatsTable[[#This Row],[GroupByKey]]),(ContinuousStatsTable[GroupByKey]=ContinuousStatsTable[[#This Row],[GroupByKey]])*ContinuousStatsTable[Average]))</f>
        <v>38.013038505588199</v>
      </c>
      <c r="U8">
        <f>IF((ContinuousStatsTable[[#This Row],[RepsRequested]]&gt;1),ContinuousStatsTable[[#This Row],[HalfWidth]],ContinuousStatsTable[[#This Row],[BatchMeansHalfWidth]])</f>
        <v>19.79368359238768</v>
      </c>
    </row>
    <row r="9" spans="1:21" x14ac:dyDescent="0.25">
      <c r="A9" t="s">
        <v>67</v>
      </c>
      <c r="B9" t="s">
        <v>69</v>
      </c>
      <c r="C9">
        <v>2</v>
      </c>
      <c r="D9" t="s">
        <v>70</v>
      </c>
      <c r="E9" t="s">
        <v>70</v>
      </c>
      <c r="F9" t="s">
        <v>70</v>
      </c>
      <c r="G9">
        <v>1.0875669983654299</v>
      </c>
      <c r="H9">
        <v>2E+20</v>
      </c>
      <c r="I9">
        <v>0</v>
      </c>
      <c r="J9">
        <v>2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IE306HW4NoneNoneNone</v>
      </c>
      <c r="N9">
        <f t="array" ref="N9">MAX(IF((ProjectInfoTable[ProjectName]=ContinuousStatsTable[[#This Row],[ProjectName]]),(ProjectInfoTable[ProjectName]=ContinuousStatsTable[[#This Row],[ProjectName]])*ProjectInfoTable[NumberOfReplications]))</f>
        <v>4</v>
      </c>
      <c r="O9">
        <f t="array" ref="O9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9">
        <f t="array" ref="P9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9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9">
        <f t="array" ref="S9">MIN(IF((ContinuousStatsTable[GroupByKey]=ContinuousStatsTable[[#This Row],[GroupByKey]]),(ContinuousStatsTable[GroupByKey]=ContinuousStatsTable[[#This Row],[GroupByKey]])*ContinuousStatsTable[Average]))</f>
        <v>0.391666666666667</v>
      </c>
      <c r="T9">
        <f t="array" ref="T9">MAX(IF((ContinuousStatsTable[GroupByKey]=ContinuousStatsTable[[#This Row],[GroupByKey]]),(ContinuousStatsTable[GroupByKey]=ContinuousStatsTable[[#This Row],[GroupByKey]])*ContinuousStatsTable[Average]))</f>
        <v>38.013038505588199</v>
      </c>
      <c r="U9">
        <f>IF((ContinuousStatsTable[[#This Row],[RepsRequested]]&gt;1),ContinuousStatsTable[[#This Row],[HalfWidth]],ContinuousStatsTable[[#This Row],[BatchMeansHalfWidth]])</f>
        <v>19.79368359238768</v>
      </c>
    </row>
    <row r="10" spans="1:21" x14ac:dyDescent="0.25">
      <c r="A10" t="s">
        <v>67</v>
      </c>
      <c r="B10" t="s">
        <v>69</v>
      </c>
      <c r="C10">
        <v>2</v>
      </c>
      <c r="D10" t="s">
        <v>70</v>
      </c>
      <c r="E10" t="s">
        <v>70</v>
      </c>
      <c r="F10" t="s">
        <v>70</v>
      </c>
      <c r="G10">
        <v>0.44166666666666698</v>
      </c>
      <c r="H10">
        <v>2E+20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IE306HW4NoneNoneNone</v>
      </c>
      <c r="N10">
        <f t="array" ref="N10">MAX(IF((ProjectInfoTable[ProjectName]=ContinuousStatsTable[[#This Row],[ProjectName]]),(ProjectInfoTable[ProjectName]=ContinuousStatsTable[[#This Row],[ProjectName]])*ProjectInfoTable[NumberOfReplications]))</f>
        <v>4</v>
      </c>
      <c r="O10">
        <f t="array" ref="O10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10">
        <f t="array" ref="P10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10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10">
        <f t="array" ref="S10">MIN(IF((ContinuousStatsTable[GroupByKey]=ContinuousStatsTable[[#This Row],[GroupByKey]]),(ContinuousStatsTable[GroupByKey]=ContinuousStatsTable[[#This Row],[GroupByKey]])*ContinuousStatsTable[Average]))</f>
        <v>0.391666666666667</v>
      </c>
      <c r="T10">
        <f t="array" ref="T10">MAX(IF((ContinuousStatsTable[GroupByKey]=ContinuousStatsTable[[#This Row],[GroupByKey]]),(ContinuousStatsTable[GroupByKey]=ContinuousStatsTable[[#This Row],[GroupByKey]])*ContinuousStatsTable[Average]))</f>
        <v>38.013038505588199</v>
      </c>
      <c r="U10">
        <f>IF((ContinuousStatsTable[[#This Row],[RepsRequested]]&gt;1),ContinuousStatsTable[[#This Row],[HalfWidth]],ContinuousStatsTable[[#This Row],[BatchMeansHalfWidth]])</f>
        <v>19.79368359238768</v>
      </c>
    </row>
    <row r="11" spans="1:21" x14ac:dyDescent="0.25">
      <c r="A11" t="s">
        <v>67</v>
      </c>
      <c r="B11" t="s">
        <v>69</v>
      </c>
      <c r="C11">
        <v>2</v>
      </c>
      <c r="D11" t="s">
        <v>70</v>
      </c>
      <c r="E11" t="s">
        <v>70</v>
      </c>
      <c r="F11" t="s">
        <v>70</v>
      </c>
      <c r="G11">
        <v>0.552510183950082</v>
      </c>
      <c r="H11">
        <v>2E+20</v>
      </c>
      <c r="I11">
        <v>0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IE306HW4NoneNoneNone</v>
      </c>
      <c r="N11">
        <f t="array" ref="N11">MAX(IF((ProjectInfoTable[ProjectName]=ContinuousStatsTable[[#This Row],[ProjectName]]),(ProjectInfoTable[ProjectName]=ContinuousStatsTable[[#This Row],[ProjectName]])*ProjectInfoTable[NumberOfReplications]))</f>
        <v>4</v>
      </c>
      <c r="O11">
        <f t="array" ref="O11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11">
        <f t="array" ref="P11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1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11">
        <f t="array" ref="S11">MIN(IF((ContinuousStatsTable[GroupByKey]=ContinuousStatsTable[[#This Row],[GroupByKey]]),(ContinuousStatsTable[GroupByKey]=ContinuousStatsTable[[#This Row],[GroupByKey]])*ContinuousStatsTable[Average]))</f>
        <v>0.391666666666667</v>
      </c>
      <c r="T11">
        <f t="array" ref="T11">MAX(IF((ContinuousStatsTable[GroupByKey]=ContinuousStatsTable[[#This Row],[GroupByKey]]),(ContinuousStatsTable[GroupByKey]=ContinuousStatsTable[[#This Row],[GroupByKey]])*ContinuousStatsTable[Average]))</f>
        <v>38.013038505588199</v>
      </c>
      <c r="U11">
        <f>IF((ContinuousStatsTable[[#This Row],[RepsRequested]]&gt;1),ContinuousStatsTable[[#This Row],[HalfWidth]],ContinuousStatsTable[[#This Row],[BatchMeansHalfWidth]])</f>
        <v>19.79368359238768</v>
      </c>
    </row>
    <row r="12" spans="1:21" x14ac:dyDescent="0.25">
      <c r="A12" t="s">
        <v>67</v>
      </c>
      <c r="B12" t="s">
        <v>69</v>
      </c>
      <c r="C12">
        <v>2</v>
      </c>
      <c r="D12" t="s">
        <v>70</v>
      </c>
      <c r="E12" t="s">
        <v>70</v>
      </c>
      <c r="F12" t="s">
        <v>70</v>
      </c>
      <c r="G12">
        <v>9.9163837291833499</v>
      </c>
      <c r="H12">
        <v>3E+20</v>
      </c>
      <c r="I12">
        <v>0</v>
      </c>
      <c r="J12">
        <v>21</v>
      </c>
      <c r="K12">
        <v>19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IE306HW4NoneNoneNone</v>
      </c>
      <c r="N12">
        <f t="array" ref="N12">MAX(IF((ProjectInfoTable[ProjectName]=ContinuousStatsTable[[#This Row],[ProjectName]]),(ProjectInfoTable[ProjectName]=ContinuousStatsTable[[#This Row],[ProjectName]])*ProjectInfoTable[NumberOfReplications]))</f>
        <v>4</v>
      </c>
      <c r="O12">
        <f t="array" ref="O12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12">
        <f t="array" ref="P12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12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12">
        <f t="array" ref="S12">MIN(IF((ContinuousStatsTable[GroupByKey]=ContinuousStatsTable[[#This Row],[GroupByKey]]),(ContinuousStatsTable[GroupByKey]=ContinuousStatsTable[[#This Row],[GroupByKey]])*ContinuousStatsTable[Average]))</f>
        <v>0.391666666666667</v>
      </c>
      <c r="T12">
        <f t="array" ref="T12">MAX(IF((ContinuousStatsTable[GroupByKey]=ContinuousStatsTable[[#This Row],[GroupByKey]]),(ContinuousStatsTable[GroupByKey]=ContinuousStatsTable[[#This Row],[GroupByKey]])*ContinuousStatsTable[Average]))</f>
        <v>38.013038505588199</v>
      </c>
      <c r="U12">
        <f>IF((ContinuousStatsTable[[#This Row],[RepsRequested]]&gt;1),ContinuousStatsTable[[#This Row],[HalfWidth]],ContinuousStatsTable[[#This Row],[BatchMeansHalfWidth]])</f>
        <v>19.79368359238768</v>
      </c>
    </row>
    <row r="13" spans="1:21" x14ac:dyDescent="0.25">
      <c r="A13" t="s">
        <v>67</v>
      </c>
      <c r="B13" t="s">
        <v>69</v>
      </c>
      <c r="C13">
        <v>2</v>
      </c>
      <c r="D13" t="s">
        <v>70</v>
      </c>
      <c r="E13" t="s">
        <v>70</v>
      </c>
      <c r="F13" t="s">
        <v>70</v>
      </c>
      <c r="G13">
        <v>34.155321100913099</v>
      </c>
      <c r="H13">
        <v>3E+20</v>
      </c>
      <c r="I13">
        <v>0</v>
      </c>
      <c r="J13">
        <v>78</v>
      </c>
      <c r="K13">
        <v>77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IE306HW4NoneNoneNone</v>
      </c>
      <c r="N13">
        <f t="array" ref="N13">MAX(IF((ProjectInfoTable[ProjectName]=ContinuousStatsTable[[#This Row],[ProjectName]]),(ProjectInfoTable[ProjectName]=ContinuousStatsTable[[#This Row],[ProjectName]])*ProjectInfoTable[NumberOfReplications]))</f>
        <v>4</v>
      </c>
      <c r="O13">
        <f t="array" ref="O13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13">
        <f t="array" ref="P13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13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13">
        <f t="array" ref="S13">MIN(IF((ContinuousStatsTable[GroupByKey]=ContinuousStatsTable[[#This Row],[GroupByKey]]),(ContinuousStatsTable[GroupByKey]=ContinuousStatsTable[[#This Row],[GroupByKey]])*ContinuousStatsTable[Average]))</f>
        <v>0.391666666666667</v>
      </c>
      <c r="T13">
        <f t="array" ref="T13">MAX(IF((ContinuousStatsTable[GroupByKey]=ContinuousStatsTable[[#This Row],[GroupByKey]]),(ContinuousStatsTable[GroupByKey]=ContinuousStatsTable[[#This Row],[GroupByKey]])*ContinuousStatsTable[Average]))</f>
        <v>38.013038505588199</v>
      </c>
      <c r="U13">
        <f>IF((ContinuousStatsTable[[#This Row],[RepsRequested]]&gt;1),ContinuousStatsTable[[#This Row],[HalfWidth]],ContinuousStatsTable[[#This Row],[BatchMeansHalfWidth]])</f>
        <v>19.79368359238768</v>
      </c>
    </row>
    <row r="14" spans="1:21" x14ac:dyDescent="0.25">
      <c r="A14" t="s">
        <v>67</v>
      </c>
      <c r="B14" t="s">
        <v>69</v>
      </c>
      <c r="C14">
        <v>3</v>
      </c>
      <c r="D14" t="s">
        <v>70</v>
      </c>
      <c r="E14" t="s">
        <v>70</v>
      </c>
      <c r="F14" t="s">
        <v>70</v>
      </c>
      <c r="G14">
        <v>0.88370918443503899</v>
      </c>
      <c r="H14">
        <v>2E+20</v>
      </c>
      <c r="I14">
        <v>0</v>
      </c>
      <c r="J14">
        <v>2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IE306HW4NoneNoneNone</v>
      </c>
      <c r="N14">
        <f t="array" ref="N14">MAX(IF((ProjectInfoTable[ProjectName]=ContinuousStatsTable[[#This Row],[ProjectName]]),(ProjectInfoTable[ProjectName]=ContinuousStatsTable[[#This Row],[ProjectName]])*ProjectInfoTable[NumberOfReplications]))</f>
        <v>4</v>
      </c>
      <c r="O14">
        <f t="array" ref="O14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14">
        <f t="array" ref="P14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14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14">
        <f t="array" ref="S14">MIN(IF((ContinuousStatsTable[GroupByKey]=ContinuousStatsTable[[#This Row],[GroupByKey]]),(ContinuousStatsTable[GroupByKey]=ContinuousStatsTable[[#This Row],[GroupByKey]])*ContinuousStatsTable[Average]))</f>
        <v>0.391666666666667</v>
      </c>
      <c r="T14">
        <f t="array" ref="T14">MAX(IF((ContinuousStatsTable[GroupByKey]=ContinuousStatsTable[[#This Row],[GroupByKey]]),(ContinuousStatsTable[GroupByKey]=ContinuousStatsTable[[#This Row],[GroupByKey]])*ContinuousStatsTable[Average]))</f>
        <v>38.013038505588199</v>
      </c>
      <c r="U14">
        <f>IF((ContinuousStatsTable[[#This Row],[RepsRequested]]&gt;1),ContinuousStatsTable[[#This Row],[HalfWidth]],ContinuousStatsTable[[#This Row],[BatchMeansHalfWidth]])</f>
        <v>19.79368359238768</v>
      </c>
    </row>
    <row r="15" spans="1:21" x14ac:dyDescent="0.25">
      <c r="A15" t="s">
        <v>67</v>
      </c>
      <c r="B15" t="s">
        <v>69</v>
      </c>
      <c r="C15">
        <v>3</v>
      </c>
      <c r="D15" t="s">
        <v>70</v>
      </c>
      <c r="E15" t="s">
        <v>70</v>
      </c>
      <c r="F15" t="s">
        <v>70</v>
      </c>
      <c r="G15">
        <v>0.93318431283002801</v>
      </c>
      <c r="H15">
        <v>2E+20</v>
      </c>
      <c r="I15">
        <v>0</v>
      </c>
      <c r="J15">
        <v>2</v>
      </c>
      <c r="K15">
        <v>1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IE306HW4NoneNoneNone</v>
      </c>
      <c r="N15">
        <f t="array" ref="N15">MAX(IF((ProjectInfoTable[ProjectName]=ContinuousStatsTable[[#This Row],[ProjectName]]),(ProjectInfoTable[ProjectName]=ContinuousStatsTable[[#This Row],[ProjectName]])*ProjectInfoTable[NumberOfReplications]))</f>
        <v>4</v>
      </c>
      <c r="O15">
        <f t="array" ref="O15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15">
        <f t="array" ref="P15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15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15">
        <f t="array" ref="S15">MIN(IF((ContinuousStatsTable[GroupByKey]=ContinuousStatsTable[[#This Row],[GroupByKey]]),(ContinuousStatsTable[GroupByKey]=ContinuousStatsTable[[#This Row],[GroupByKey]])*ContinuousStatsTable[Average]))</f>
        <v>0.391666666666667</v>
      </c>
      <c r="T15">
        <f t="array" ref="T15">MAX(IF((ContinuousStatsTable[GroupByKey]=ContinuousStatsTable[[#This Row],[GroupByKey]]),(ContinuousStatsTable[GroupByKey]=ContinuousStatsTable[[#This Row],[GroupByKey]])*ContinuousStatsTable[Average]))</f>
        <v>38.013038505588199</v>
      </c>
      <c r="U15">
        <f>IF((ContinuousStatsTable[[#This Row],[RepsRequested]]&gt;1),ContinuousStatsTable[[#This Row],[HalfWidth]],ContinuousStatsTable[[#This Row],[BatchMeansHalfWidth]])</f>
        <v>19.79368359238768</v>
      </c>
    </row>
    <row r="16" spans="1:21" x14ac:dyDescent="0.25">
      <c r="A16" t="s">
        <v>67</v>
      </c>
      <c r="B16" t="s">
        <v>69</v>
      </c>
      <c r="C16">
        <v>3</v>
      </c>
      <c r="D16" t="s">
        <v>70</v>
      </c>
      <c r="E16" t="s">
        <v>70</v>
      </c>
      <c r="F16" t="s">
        <v>70</v>
      </c>
      <c r="G16">
        <v>0.46454072466620999</v>
      </c>
      <c r="H16">
        <v>2E+20</v>
      </c>
      <c r="I16">
        <v>0</v>
      </c>
      <c r="J16">
        <v>1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IE306HW4NoneNoneNone</v>
      </c>
      <c r="N16">
        <f t="array" ref="N16">MAX(IF((ProjectInfoTable[ProjectName]=ContinuousStatsTable[[#This Row],[ProjectName]]),(ProjectInfoTable[ProjectName]=ContinuousStatsTable[[#This Row],[ProjectName]])*ProjectInfoTable[NumberOfReplications]))</f>
        <v>4</v>
      </c>
      <c r="O16">
        <f t="array" ref="O16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16">
        <f t="array" ref="P16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16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16">
        <f t="array" ref="S16">MIN(IF((ContinuousStatsTable[GroupByKey]=ContinuousStatsTable[[#This Row],[GroupByKey]]),(ContinuousStatsTable[GroupByKey]=ContinuousStatsTable[[#This Row],[GroupByKey]])*ContinuousStatsTable[Average]))</f>
        <v>0.391666666666667</v>
      </c>
      <c r="T16">
        <f t="array" ref="T16">MAX(IF((ContinuousStatsTable[GroupByKey]=ContinuousStatsTable[[#This Row],[GroupByKey]]),(ContinuousStatsTable[GroupByKey]=ContinuousStatsTable[[#This Row],[GroupByKey]])*ContinuousStatsTable[Average]))</f>
        <v>38.013038505588199</v>
      </c>
      <c r="U16">
        <f>IF((ContinuousStatsTable[[#This Row],[RepsRequested]]&gt;1),ContinuousStatsTable[[#This Row],[HalfWidth]],ContinuousStatsTable[[#This Row],[BatchMeansHalfWidth]])</f>
        <v>19.79368359238768</v>
      </c>
    </row>
    <row r="17" spans="1:21" x14ac:dyDescent="0.25">
      <c r="A17" t="s">
        <v>67</v>
      </c>
      <c r="B17" t="s">
        <v>69</v>
      </c>
      <c r="C17">
        <v>3</v>
      </c>
      <c r="D17" t="s">
        <v>70</v>
      </c>
      <c r="E17" t="s">
        <v>70</v>
      </c>
      <c r="F17" t="s">
        <v>70</v>
      </c>
      <c r="G17">
        <v>0.53125</v>
      </c>
      <c r="H17">
        <v>2E+20</v>
      </c>
      <c r="I17">
        <v>0</v>
      </c>
      <c r="J17">
        <v>1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IE306HW4NoneNoneNone</v>
      </c>
      <c r="N17">
        <f t="array" ref="N17">MAX(IF((ProjectInfoTable[ProjectName]=ContinuousStatsTable[[#This Row],[ProjectName]]),(ProjectInfoTable[ProjectName]=ContinuousStatsTable[[#This Row],[ProjectName]])*ProjectInfoTable[NumberOfReplications]))</f>
        <v>4</v>
      </c>
      <c r="O17">
        <f t="array" ref="O17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17">
        <f t="array" ref="P17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17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17">
        <f t="array" ref="S17">MIN(IF((ContinuousStatsTable[GroupByKey]=ContinuousStatsTable[[#This Row],[GroupByKey]]),(ContinuousStatsTable[GroupByKey]=ContinuousStatsTable[[#This Row],[GroupByKey]])*ContinuousStatsTable[Average]))</f>
        <v>0.391666666666667</v>
      </c>
      <c r="T17">
        <f t="array" ref="T17">MAX(IF((ContinuousStatsTable[GroupByKey]=ContinuousStatsTable[[#This Row],[GroupByKey]]),(ContinuousStatsTable[GroupByKey]=ContinuousStatsTable[[#This Row],[GroupByKey]])*ContinuousStatsTable[Average]))</f>
        <v>38.013038505588199</v>
      </c>
      <c r="U17">
        <f>IF((ContinuousStatsTable[[#This Row],[RepsRequested]]&gt;1),ContinuousStatsTable[[#This Row],[HalfWidth]],ContinuousStatsTable[[#This Row],[BatchMeansHalfWidth]])</f>
        <v>19.79368359238768</v>
      </c>
    </row>
    <row r="18" spans="1:21" x14ac:dyDescent="0.25">
      <c r="A18" t="s">
        <v>67</v>
      </c>
      <c r="B18" t="s">
        <v>69</v>
      </c>
      <c r="C18">
        <v>3</v>
      </c>
      <c r="D18" t="s">
        <v>70</v>
      </c>
      <c r="E18" t="s">
        <v>70</v>
      </c>
      <c r="F18" t="s">
        <v>70</v>
      </c>
      <c r="G18">
        <v>4.7592115463315698</v>
      </c>
      <c r="H18">
        <v>3E+20</v>
      </c>
      <c r="I18">
        <v>0</v>
      </c>
      <c r="J18">
        <v>16</v>
      </c>
      <c r="K18">
        <v>3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IE306HW4NoneNoneNone</v>
      </c>
      <c r="N18">
        <f t="array" ref="N18">MAX(IF((ProjectInfoTable[ProjectName]=ContinuousStatsTable[[#This Row],[ProjectName]]),(ProjectInfoTable[ProjectName]=ContinuousStatsTable[[#This Row],[ProjectName]])*ProjectInfoTable[NumberOfReplications]))</f>
        <v>4</v>
      </c>
      <c r="O18">
        <f t="array" ref="O18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18">
        <f t="array" ref="P18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18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18">
        <f t="array" ref="S18">MIN(IF((ContinuousStatsTable[GroupByKey]=ContinuousStatsTable[[#This Row],[GroupByKey]]),(ContinuousStatsTable[GroupByKey]=ContinuousStatsTable[[#This Row],[GroupByKey]])*ContinuousStatsTable[Average]))</f>
        <v>0.391666666666667</v>
      </c>
      <c r="T18">
        <f t="array" ref="T18">MAX(IF((ContinuousStatsTable[GroupByKey]=ContinuousStatsTable[[#This Row],[GroupByKey]]),(ContinuousStatsTable[GroupByKey]=ContinuousStatsTable[[#This Row],[GroupByKey]])*ContinuousStatsTable[Average]))</f>
        <v>38.013038505588199</v>
      </c>
      <c r="U18">
        <f>IF((ContinuousStatsTable[[#This Row],[RepsRequested]]&gt;1),ContinuousStatsTable[[#This Row],[HalfWidth]],ContinuousStatsTable[[#This Row],[BatchMeansHalfWidth]])</f>
        <v>19.79368359238768</v>
      </c>
    </row>
    <row r="19" spans="1:21" x14ac:dyDescent="0.25">
      <c r="A19" t="s">
        <v>67</v>
      </c>
      <c r="B19" t="s">
        <v>69</v>
      </c>
      <c r="C19">
        <v>3</v>
      </c>
      <c r="D19" t="s">
        <v>70</v>
      </c>
      <c r="E19" t="s">
        <v>70</v>
      </c>
      <c r="F19" t="s">
        <v>70</v>
      </c>
      <c r="G19">
        <v>38.013038505588199</v>
      </c>
      <c r="H19">
        <v>3E+20</v>
      </c>
      <c r="I19">
        <v>0</v>
      </c>
      <c r="J19">
        <v>81</v>
      </c>
      <c r="K19">
        <v>81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IE306HW4NoneNoneNone</v>
      </c>
      <c r="N19">
        <f t="array" ref="N19">MAX(IF((ProjectInfoTable[ProjectName]=ContinuousStatsTable[[#This Row],[ProjectName]]),(ProjectInfoTable[ProjectName]=ContinuousStatsTable[[#This Row],[ProjectName]])*ProjectInfoTable[NumberOfReplications]))</f>
        <v>4</v>
      </c>
      <c r="O19">
        <f t="array" ref="O19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19">
        <f t="array" ref="P19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19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19">
        <f t="array" ref="S19">MIN(IF((ContinuousStatsTable[GroupByKey]=ContinuousStatsTable[[#This Row],[GroupByKey]]),(ContinuousStatsTable[GroupByKey]=ContinuousStatsTable[[#This Row],[GroupByKey]])*ContinuousStatsTable[Average]))</f>
        <v>0.391666666666667</v>
      </c>
      <c r="T19">
        <f t="array" ref="T19">MAX(IF((ContinuousStatsTable[GroupByKey]=ContinuousStatsTable[[#This Row],[GroupByKey]]),(ContinuousStatsTable[GroupByKey]=ContinuousStatsTable[[#This Row],[GroupByKey]])*ContinuousStatsTable[Average]))</f>
        <v>38.013038505588199</v>
      </c>
      <c r="U19">
        <f>IF((ContinuousStatsTable[[#This Row],[RepsRequested]]&gt;1),ContinuousStatsTable[[#This Row],[HalfWidth]],ContinuousStatsTable[[#This Row],[BatchMeansHalfWidth]])</f>
        <v>19.79368359238768</v>
      </c>
    </row>
    <row r="20" spans="1:21" x14ac:dyDescent="0.25">
      <c r="A20" t="s">
        <v>67</v>
      </c>
      <c r="B20" t="s">
        <v>69</v>
      </c>
      <c r="C20">
        <v>4</v>
      </c>
      <c r="D20" t="s">
        <v>70</v>
      </c>
      <c r="E20" t="s">
        <v>70</v>
      </c>
      <c r="F20" t="s">
        <v>70</v>
      </c>
      <c r="G20">
        <v>0.76171565732053104</v>
      </c>
      <c r="H20">
        <v>2E+20</v>
      </c>
      <c r="I20">
        <v>0</v>
      </c>
      <c r="J20">
        <v>2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IE306HW4NoneNoneNone</v>
      </c>
      <c r="N20">
        <f t="array" ref="N20">MAX(IF((ProjectInfoTable[ProjectName]=ContinuousStatsTable[[#This Row],[ProjectName]]),(ProjectInfoTable[ProjectName]=ContinuousStatsTable[[#This Row],[ProjectName]])*ProjectInfoTable[NumberOfReplications]))</f>
        <v>4</v>
      </c>
      <c r="O20">
        <f t="array" ref="O20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20">
        <f t="array" ref="P20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20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20">
        <f t="array" ref="S20">MIN(IF((ContinuousStatsTable[GroupByKey]=ContinuousStatsTable[[#This Row],[GroupByKey]]),(ContinuousStatsTable[GroupByKey]=ContinuousStatsTable[[#This Row],[GroupByKey]])*ContinuousStatsTable[Average]))</f>
        <v>0.391666666666667</v>
      </c>
      <c r="T20">
        <f t="array" ref="T20">MAX(IF((ContinuousStatsTable[GroupByKey]=ContinuousStatsTable[[#This Row],[GroupByKey]]),(ContinuousStatsTable[GroupByKey]=ContinuousStatsTable[[#This Row],[GroupByKey]])*ContinuousStatsTable[Average]))</f>
        <v>38.013038505588199</v>
      </c>
      <c r="U20">
        <f>IF((ContinuousStatsTable[[#This Row],[RepsRequested]]&gt;1),ContinuousStatsTable[[#This Row],[HalfWidth]],ContinuousStatsTable[[#This Row],[BatchMeansHalfWidth]])</f>
        <v>19.79368359238768</v>
      </c>
    </row>
    <row r="21" spans="1:21" x14ac:dyDescent="0.25">
      <c r="A21" t="s">
        <v>67</v>
      </c>
      <c r="B21" t="s">
        <v>69</v>
      </c>
      <c r="C21">
        <v>4</v>
      </c>
      <c r="D21" t="s">
        <v>70</v>
      </c>
      <c r="E21" t="s">
        <v>70</v>
      </c>
      <c r="F21" t="s">
        <v>70</v>
      </c>
      <c r="G21">
        <v>1.1014316833083</v>
      </c>
      <c r="H21">
        <v>2E+20</v>
      </c>
      <c r="I21">
        <v>0</v>
      </c>
      <c r="J21">
        <v>2</v>
      </c>
      <c r="K21">
        <v>1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IE306HW4NoneNoneNone</v>
      </c>
      <c r="N21">
        <f t="array" ref="N21">MAX(IF((ProjectInfoTable[ProjectName]=ContinuousStatsTable[[#This Row],[ProjectName]]),(ProjectInfoTable[ProjectName]=ContinuousStatsTable[[#This Row],[ProjectName]])*ProjectInfoTable[NumberOfReplications]))</f>
        <v>4</v>
      </c>
      <c r="O21">
        <f t="array" ref="O21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21">
        <f t="array" ref="P21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2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21">
        <f t="array" ref="S21">MIN(IF((ContinuousStatsTable[GroupByKey]=ContinuousStatsTable[[#This Row],[GroupByKey]]),(ContinuousStatsTable[GroupByKey]=ContinuousStatsTable[[#This Row],[GroupByKey]])*ContinuousStatsTable[Average]))</f>
        <v>0.391666666666667</v>
      </c>
      <c r="T21">
        <f t="array" ref="T21">MAX(IF((ContinuousStatsTable[GroupByKey]=ContinuousStatsTable[[#This Row],[GroupByKey]]),(ContinuousStatsTable[GroupByKey]=ContinuousStatsTable[[#This Row],[GroupByKey]])*ContinuousStatsTable[Average]))</f>
        <v>38.013038505588199</v>
      </c>
      <c r="U21">
        <f>IF((ContinuousStatsTable[[#This Row],[RepsRequested]]&gt;1),ContinuousStatsTable[[#This Row],[HalfWidth]],ContinuousStatsTable[[#This Row],[BatchMeansHalfWidth]])</f>
        <v>19.79368359238768</v>
      </c>
    </row>
    <row r="22" spans="1:21" x14ac:dyDescent="0.25">
      <c r="A22" t="s">
        <v>67</v>
      </c>
      <c r="B22" t="s">
        <v>69</v>
      </c>
      <c r="C22">
        <v>4</v>
      </c>
      <c r="D22" t="s">
        <v>70</v>
      </c>
      <c r="E22" t="s">
        <v>70</v>
      </c>
      <c r="F22" t="s">
        <v>70</v>
      </c>
      <c r="G22">
        <v>0.391666666666667</v>
      </c>
      <c r="H22">
        <v>2E+20</v>
      </c>
      <c r="I22">
        <v>0</v>
      </c>
      <c r="J22">
        <v>1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IE306HW4NoneNoneNone</v>
      </c>
      <c r="N22">
        <f t="array" ref="N22">MAX(IF((ProjectInfoTable[ProjectName]=ContinuousStatsTable[[#This Row],[ProjectName]]),(ProjectInfoTable[ProjectName]=ContinuousStatsTable[[#This Row],[ProjectName]])*ProjectInfoTable[NumberOfReplications]))</f>
        <v>4</v>
      </c>
      <c r="O22">
        <f t="array" ref="O22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22">
        <f t="array" ref="P22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22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22">
        <f t="array" ref="S22">MIN(IF((ContinuousStatsTable[GroupByKey]=ContinuousStatsTable[[#This Row],[GroupByKey]]),(ContinuousStatsTable[GroupByKey]=ContinuousStatsTable[[#This Row],[GroupByKey]])*ContinuousStatsTable[Average]))</f>
        <v>0.391666666666667</v>
      </c>
      <c r="T22">
        <f t="array" ref="T22">MAX(IF((ContinuousStatsTable[GroupByKey]=ContinuousStatsTable[[#This Row],[GroupByKey]]),(ContinuousStatsTable[GroupByKey]=ContinuousStatsTable[[#This Row],[GroupByKey]])*ContinuousStatsTable[Average]))</f>
        <v>38.013038505588199</v>
      </c>
      <c r="U22">
        <f>IF((ContinuousStatsTable[[#This Row],[RepsRequested]]&gt;1),ContinuousStatsTable[[#This Row],[HalfWidth]],ContinuousStatsTable[[#This Row],[BatchMeansHalfWidth]])</f>
        <v>19.79368359238768</v>
      </c>
    </row>
    <row r="23" spans="1:21" x14ac:dyDescent="0.25">
      <c r="A23" t="s">
        <v>67</v>
      </c>
      <c r="B23" t="s">
        <v>69</v>
      </c>
      <c r="C23">
        <v>4</v>
      </c>
      <c r="D23" t="s">
        <v>70</v>
      </c>
      <c r="E23" t="s">
        <v>70</v>
      </c>
      <c r="F23" t="s">
        <v>70</v>
      </c>
      <c r="G23">
        <v>0.592910496785793</v>
      </c>
      <c r="H23">
        <v>2E+20</v>
      </c>
      <c r="I23">
        <v>0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IE306HW4NoneNoneNone</v>
      </c>
      <c r="N23">
        <f t="array" ref="N23">MAX(IF((ProjectInfoTable[ProjectName]=ContinuousStatsTable[[#This Row],[ProjectName]]),(ProjectInfoTable[ProjectName]=ContinuousStatsTable[[#This Row],[ProjectName]])*ProjectInfoTable[NumberOfReplications]))</f>
        <v>4</v>
      </c>
      <c r="O23">
        <f t="array" ref="O23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23">
        <f t="array" ref="P23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23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23">
        <f t="array" ref="S23">MIN(IF((ContinuousStatsTable[GroupByKey]=ContinuousStatsTable[[#This Row],[GroupByKey]]),(ContinuousStatsTable[GroupByKey]=ContinuousStatsTable[[#This Row],[GroupByKey]])*ContinuousStatsTable[Average]))</f>
        <v>0.391666666666667</v>
      </c>
      <c r="T23">
        <f t="array" ref="T23">MAX(IF((ContinuousStatsTable[GroupByKey]=ContinuousStatsTable[[#This Row],[GroupByKey]]),(ContinuousStatsTable[GroupByKey]=ContinuousStatsTable[[#This Row],[GroupByKey]])*ContinuousStatsTable[Average]))</f>
        <v>38.013038505588199</v>
      </c>
      <c r="U23">
        <f>IF((ContinuousStatsTable[[#This Row],[RepsRequested]]&gt;1),ContinuousStatsTable[[#This Row],[HalfWidth]],ContinuousStatsTable[[#This Row],[BatchMeansHalfWidth]])</f>
        <v>19.79368359238768</v>
      </c>
    </row>
    <row r="24" spans="1:21" x14ac:dyDescent="0.25">
      <c r="A24" t="s">
        <v>67</v>
      </c>
      <c r="B24" t="s">
        <v>69</v>
      </c>
      <c r="C24">
        <v>4</v>
      </c>
      <c r="D24" t="s">
        <v>70</v>
      </c>
      <c r="E24" t="s">
        <v>70</v>
      </c>
      <c r="F24" t="s">
        <v>70</v>
      </c>
      <c r="G24">
        <v>17.659879964687601</v>
      </c>
      <c r="H24">
        <v>3E+20</v>
      </c>
      <c r="I24">
        <v>0</v>
      </c>
      <c r="J24">
        <v>38</v>
      </c>
      <c r="K24">
        <v>29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IE306HW4NoneNoneNone</v>
      </c>
      <c r="N24">
        <f t="array" ref="N24">MAX(IF((ProjectInfoTable[ProjectName]=ContinuousStatsTable[[#This Row],[ProjectName]]),(ProjectInfoTable[ProjectName]=ContinuousStatsTable[[#This Row],[ProjectName]])*ProjectInfoTable[NumberOfReplications]))</f>
        <v>4</v>
      </c>
      <c r="O24">
        <f t="array" ref="O24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24">
        <f t="array" ref="P24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24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24">
        <f t="array" ref="S24">MIN(IF((ContinuousStatsTable[GroupByKey]=ContinuousStatsTable[[#This Row],[GroupByKey]]),(ContinuousStatsTable[GroupByKey]=ContinuousStatsTable[[#This Row],[GroupByKey]])*ContinuousStatsTable[Average]))</f>
        <v>0.391666666666667</v>
      </c>
      <c r="T24">
        <f t="array" ref="T24">MAX(IF((ContinuousStatsTable[GroupByKey]=ContinuousStatsTable[[#This Row],[GroupByKey]]),(ContinuousStatsTable[GroupByKey]=ContinuousStatsTable[[#This Row],[GroupByKey]])*ContinuousStatsTable[Average]))</f>
        <v>38.013038505588199</v>
      </c>
      <c r="U24">
        <f>IF((ContinuousStatsTable[[#This Row],[RepsRequested]]&gt;1),ContinuousStatsTable[[#This Row],[HalfWidth]],ContinuousStatsTable[[#This Row],[BatchMeansHalfWidth]])</f>
        <v>19.79368359238768</v>
      </c>
    </row>
    <row r="25" spans="1:21" x14ac:dyDescent="0.25">
      <c r="A25" t="s">
        <v>67</v>
      </c>
      <c r="B25" t="s">
        <v>69</v>
      </c>
      <c r="C25">
        <v>4</v>
      </c>
      <c r="D25" t="s">
        <v>70</v>
      </c>
      <c r="E25" t="s">
        <v>70</v>
      </c>
      <c r="F25" t="s">
        <v>70</v>
      </c>
      <c r="G25">
        <v>30.036812951717799</v>
      </c>
      <c r="H25">
        <v>3E+20</v>
      </c>
      <c r="I25">
        <v>0</v>
      </c>
      <c r="J25">
        <v>74</v>
      </c>
      <c r="K25">
        <v>73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IE306HW4NoneNoneNone</v>
      </c>
      <c r="N25">
        <f t="array" ref="N25">MAX(IF((ProjectInfoTable[ProjectName]=ContinuousStatsTable[[#This Row],[ProjectName]]),(ProjectInfoTable[ProjectName]=ContinuousStatsTable[[#This Row],[ProjectName]])*ProjectInfoTable[NumberOfReplications]))</f>
        <v>4</v>
      </c>
      <c r="O25">
        <f t="array" ref="O25">IFERROR(AVERAGE(IF((ContinuousStatsTable[GroupByKey]=ContinuousStatsTable[[#This Row],[GroupByKey]]),(ContinuousStatsTable[GroupByKey]=ContinuousStatsTable[[#This Row],[GroupByKey]])*ContinuousStatsTable[Average])),0)</f>
        <v>8.0292898613665127</v>
      </c>
      <c r="P25">
        <f t="array" ref="P25">IFERROR(_xlfn.STDEV.S(IF((ContinuousStatsTable[GroupByKey]=ContinuousStatsTable[[#This Row],[GroupByKey]]),(ContinuousStatsTable[GroupByKey]=ContinuousStatsTable[[#This Row],[GroupByKey]])*ContinuousStatsTable[Average])),0)</f>
        <v>12.439288329562636</v>
      </c>
      <c r="Q25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19.79368359238768</v>
      </c>
      <c r="S25">
        <f t="array" ref="S25">MIN(IF((ContinuousStatsTable[GroupByKey]=ContinuousStatsTable[[#This Row],[GroupByKey]]),(ContinuousStatsTable[GroupByKey]=ContinuousStatsTable[[#This Row],[GroupByKey]])*ContinuousStatsTable[Average]))</f>
        <v>0.391666666666667</v>
      </c>
      <c r="T25">
        <f t="array" ref="T25">MAX(IF((ContinuousStatsTable[GroupByKey]=ContinuousStatsTable[[#This Row],[GroupByKey]]),(ContinuousStatsTable[GroupByKey]=ContinuousStatsTable[[#This Row],[GroupByKey]])*ContinuousStatsTable[Average]))</f>
        <v>38.013038505588199</v>
      </c>
      <c r="U25">
        <f>IF((ContinuousStatsTable[[#This Row],[RepsRequested]]&gt;1),ContinuousStatsTable[[#This Row],[HalfWidth]],ContinuousStatsTable[[#This Row],[BatchMeansHalfWidth]])</f>
        <v>19.79368359238768</v>
      </c>
    </row>
  </sheetData>
  <phoneticPr fontId="2" type="noConversion"/>
  <conditionalFormatting sqref="H2:H25">
    <cfRule type="expression" dxfId="10" priority="9">
      <formula>H2=200000000000000000000</formula>
    </cfRule>
  </conditionalFormatting>
  <conditionalFormatting sqref="H2:H25">
    <cfRule type="expression" dxfId="9" priority="7">
      <formula>H2=300000000000000000000</formula>
    </cfRule>
  </conditionalFormatting>
  <conditionalFormatting sqref="M2:U25">
    <cfRule type="expression" dxfId="8" priority="5">
      <formula>MOD(ROW(),2)=0</formula>
    </cfRule>
  </conditionalFormatting>
  <conditionalFormatting sqref="U2:U25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25 U2:U25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9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55.140625" bestFit="1" customWidth="1"/>
    <col min="5" max="5" width="7.5703125" bestFit="1" customWidth="1"/>
    <col min="6" max="6" width="9.28515625" bestFit="1" customWidth="1"/>
    <col min="7" max="7" width="17" bestFit="1" customWidth="1"/>
    <col min="8" max="8" width="74.140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A2" t="s">
        <v>67</v>
      </c>
      <c r="B2" t="s">
        <v>69</v>
      </c>
      <c r="C2">
        <v>1</v>
      </c>
      <c r="D2" t="s">
        <v>71</v>
      </c>
      <c r="E2" t="s">
        <v>70</v>
      </c>
      <c r="F2" t="s">
        <v>70</v>
      </c>
      <c r="G2">
        <v>25</v>
      </c>
      <c r="H2" t="str">
        <f>CountersTable[[#This Row],[ProjectName]]&amp;CountersTable[[#This Row],[Name]]&amp;CountersTable[[#This Row],[Type]]&amp;CountersTable[[#This Row],[Source]]</f>
        <v>IE306HW4Number Of Engineering Students Who Forget Their DrinkNoneNone</v>
      </c>
      <c r="I2">
        <f t="array" ref="I2">MAX(IF((ProjectInfoTable[ProjectName]=CountersTable[[#This Row],[ProjectName]]),(ProjectInfoTable[ProjectName]=CountersTable[[#This Row],[ProjectName]])*ProjectInfoTable[NumberOfReplications]))</f>
        <v>4</v>
      </c>
      <c r="J2">
        <f t="array" ref="J2">IFERROR(AVERAGE(IF((CountersTable[GroupByKey]=CountersTable[[#This Row],[GroupByKey]]),(CountersTable[GroupByKey]=CountersTable[[#This Row],[GroupByKey]])*CountersTable[RecordedValue])),0)</f>
        <v>20</v>
      </c>
      <c r="K2">
        <f t="array" ref="K2">IFERROR(_xlfn.STDEV.S(IF((CountersTable[GroupByKey]=CountersTable[[#This Row],[GroupByKey]]),(CountersTable[GroupByKey]=CountersTable[[#This Row],[GroupByKey]])*CountersTable[RecordedValue])),0)</f>
        <v>4.5460605656619517</v>
      </c>
      <c r="L2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7.2337968253934202</v>
      </c>
      <c r="N2">
        <f t="array" ref="N2">MIN(IF((CountersTable[GroupByKey]=CountersTable[[#This Row],[GroupByKey]]),(CountersTable[GroupByKey]=CountersTable[[#This Row],[GroupByKey]])*CountersTable[RecordedValue]))</f>
        <v>14</v>
      </c>
      <c r="O2">
        <f t="array" ref="O2">MAX(IF((CountersTable[GroupByKey]=CountersTable[[#This Row],[GroupByKey]]),(CountersTable[GroupByKey]=CountersTable[[#This Row],[GroupByKey]])*CountersTable[RecordedValue]))</f>
        <v>25</v>
      </c>
    </row>
    <row r="3" spans="1:15" x14ac:dyDescent="0.25">
      <c r="A3" t="s">
        <v>67</v>
      </c>
      <c r="B3" t="s">
        <v>69</v>
      </c>
      <c r="C3">
        <v>1</v>
      </c>
      <c r="D3" t="s">
        <v>72</v>
      </c>
      <c r="E3" t="s">
        <v>70</v>
      </c>
      <c r="F3" t="s">
        <v>70</v>
      </c>
      <c r="G3">
        <v>20</v>
      </c>
      <c r="H3" t="str">
        <f>CountersTable[[#This Row],[ProjectName]]&amp;CountersTable[[#This Row],[Name]]&amp;CountersTable[[#This Row],[Type]]&amp;CountersTable[[#This Row],[Source]]</f>
        <v>IE306HW4Number Of Social Sciences Students Who Forget Their DrinkNoneNone</v>
      </c>
      <c r="I3">
        <f t="array" ref="I3">MAX(IF((ProjectInfoTable[ProjectName]=CountersTable[[#This Row],[ProjectName]]),(ProjectInfoTable[ProjectName]=CountersTable[[#This Row],[ProjectName]])*ProjectInfoTable[NumberOfReplications]))</f>
        <v>4</v>
      </c>
      <c r="J3">
        <f t="array" ref="J3">IFERROR(AVERAGE(IF((CountersTable[GroupByKey]=CountersTable[[#This Row],[GroupByKey]]),(CountersTable[GroupByKey]=CountersTable[[#This Row],[GroupByKey]])*CountersTable[RecordedValue])),0)</f>
        <v>23</v>
      </c>
      <c r="K3">
        <f t="array" ref="K3">IFERROR(_xlfn.STDEV.S(IF((CountersTable[GroupByKey]=CountersTable[[#This Row],[GroupByKey]]),(CountersTable[GroupByKey]=CountersTable[[#This Row],[GroupByKey]])*CountersTable[RecordedValue])),0)</f>
        <v>2.9439202887759488</v>
      </c>
      <c r="L3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4.684434123032382</v>
      </c>
      <c r="N3">
        <f t="array" ref="N3">MIN(IF((CountersTable[GroupByKey]=CountersTable[[#This Row],[GroupByKey]]),(CountersTable[GroupByKey]=CountersTable[[#This Row],[GroupByKey]])*CountersTable[RecordedValue]))</f>
        <v>20</v>
      </c>
      <c r="O3">
        <f t="array" ref="O3">MAX(IF((CountersTable[GroupByKey]=CountersTable[[#This Row],[GroupByKey]]),(CountersTable[GroupByKey]=CountersTable[[#This Row],[GroupByKey]])*CountersTable[RecordedValue]))</f>
        <v>27</v>
      </c>
    </row>
    <row r="4" spans="1:15" x14ac:dyDescent="0.25">
      <c r="A4" t="s">
        <v>67</v>
      </c>
      <c r="B4" t="s">
        <v>69</v>
      </c>
      <c r="C4">
        <v>2</v>
      </c>
      <c r="D4" t="s">
        <v>71</v>
      </c>
      <c r="E4" t="s">
        <v>70</v>
      </c>
      <c r="F4" t="s">
        <v>70</v>
      </c>
      <c r="G4">
        <v>20</v>
      </c>
      <c r="H4" t="str">
        <f>CountersTable[[#This Row],[ProjectName]]&amp;CountersTable[[#This Row],[Name]]&amp;CountersTable[[#This Row],[Type]]&amp;CountersTable[[#This Row],[Source]]</f>
        <v>IE306HW4Number Of Engineering Students Who Forget Their DrinkNoneNone</v>
      </c>
      <c r="I4">
        <f t="array" ref="I4">MAX(IF((ProjectInfoTable[ProjectName]=CountersTable[[#This Row],[ProjectName]]),(ProjectInfoTable[ProjectName]=CountersTable[[#This Row],[ProjectName]])*ProjectInfoTable[NumberOfReplications]))</f>
        <v>4</v>
      </c>
      <c r="J4">
        <f t="array" ref="J4">IFERROR(AVERAGE(IF((CountersTable[GroupByKey]=CountersTable[[#This Row],[GroupByKey]]),(CountersTable[GroupByKey]=CountersTable[[#This Row],[GroupByKey]])*CountersTable[RecordedValue])),0)</f>
        <v>20</v>
      </c>
      <c r="K4">
        <f t="array" ref="K4">IFERROR(_xlfn.STDEV.S(IF((CountersTable[GroupByKey]=CountersTable[[#This Row],[GroupByKey]]),(CountersTable[GroupByKey]=CountersTable[[#This Row],[GroupByKey]])*CountersTable[RecordedValue])),0)</f>
        <v>4.5460605656619517</v>
      </c>
      <c r="L4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7.2337968253934202</v>
      </c>
      <c r="N4">
        <f t="array" ref="N4">MIN(IF((CountersTable[GroupByKey]=CountersTable[[#This Row],[GroupByKey]]),(CountersTable[GroupByKey]=CountersTable[[#This Row],[GroupByKey]])*CountersTable[RecordedValue]))</f>
        <v>14</v>
      </c>
      <c r="O4">
        <f t="array" ref="O4">MAX(IF((CountersTable[GroupByKey]=CountersTable[[#This Row],[GroupByKey]]),(CountersTable[GroupByKey]=CountersTable[[#This Row],[GroupByKey]])*CountersTable[RecordedValue]))</f>
        <v>25</v>
      </c>
    </row>
    <row r="5" spans="1:15" x14ac:dyDescent="0.25">
      <c r="A5" t="s">
        <v>67</v>
      </c>
      <c r="B5" t="s">
        <v>69</v>
      </c>
      <c r="C5">
        <v>2</v>
      </c>
      <c r="D5" t="s">
        <v>72</v>
      </c>
      <c r="E5" t="s">
        <v>70</v>
      </c>
      <c r="F5" t="s">
        <v>70</v>
      </c>
      <c r="G5">
        <v>22</v>
      </c>
      <c r="H5" t="str">
        <f>CountersTable[[#This Row],[ProjectName]]&amp;CountersTable[[#This Row],[Name]]&amp;CountersTable[[#This Row],[Type]]&amp;CountersTable[[#This Row],[Source]]</f>
        <v>IE306HW4Number Of Social Sciences Students Who Forget Their DrinkNoneNone</v>
      </c>
      <c r="I5">
        <f t="array" ref="I5">MAX(IF((ProjectInfoTable[ProjectName]=CountersTable[[#This Row],[ProjectName]]),(ProjectInfoTable[ProjectName]=CountersTable[[#This Row],[ProjectName]])*ProjectInfoTable[NumberOfReplications]))</f>
        <v>4</v>
      </c>
      <c r="J5">
        <f t="array" ref="J5">IFERROR(AVERAGE(IF((CountersTable[GroupByKey]=CountersTable[[#This Row],[GroupByKey]]),(CountersTable[GroupByKey]=CountersTable[[#This Row],[GroupByKey]])*CountersTable[RecordedValue])),0)</f>
        <v>23</v>
      </c>
      <c r="K5">
        <f t="array" ref="K5">IFERROR(_xlfn.STDEV.S(IF((CountersTable[GroupByKey]=CountersTable[[#This Row],[GroupByKey]]),(CountersTable[GroupByKey]=CountersTable[[#This Row],[GroupByKey]])*CountersTable[RecordedValue])),0)</f>
        <v>2.9439202887759488</v>
      </c>
      <c r="L5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4.684434123032382</v>
      </c>
      <c r="N5">
        <f t="array" ref="N5">MIN(IF((CountersTable[GroupByKey]=CountersTable[[#This Row],[GroupByKey]]),(CountersTable[GroupByKey]=CountersTable[[#This Row],[GroupByKey]])*CountersTable[RecordedValue]))</f>
        <v>20</v>
      </c>
      <c r="O5">
        <f t="array" ref="O5">MAX(IF((CountersTable[GroupByKey]=CountersTable[[#This Row],[GroupByKey]]),(CountersTable[GroupByKey]=CountersTable[[#This Row],[GroupByKey]])*CountersTable[RecordedValue]))</f>
        <v>27</v>
      </c>
    </row>
    <row r="6" spans="1:15" x14ac:dyDescent="0.25">
      <c r="A6" t="s">
        <v>67</v>
      </c>
      <c r="B6" t="s">
        <v>69</v>
      </c>
      <c r="C6">
        <v>3</v>
      </c>
      <c r="D6" t="s">
        <v>71</v>
      </c>
      <c r="E6" t="s">
        <v>70</v>
      </c>
      <c r="F6" t="s">
        <v>70</v>
      </c>
      <c r="G6">
        <v>21</v>
      </c>
      <c r="H6" t="str">
        <f>CountersTable[[#This Row],[ProjectName]]&amp;CountersTable[[#This Row],[Name]]&amp;CountersTable[[#This Row],[Type]]&amp;CountersTable[[#This Row],[Source]]</f>
        <v>IE306HW4Number Of Engineering Students Who Forget Their DrinkNoneNone</v>
      </c>
      <c r="I6">
        <f t="array" ref="I6">MAX(IF((ProjectInfoTable[ProjectName]=CountersTable[[#This Row],[ProjectName]]),(ProjectInfoTable[ProjectName]=CountersTable[[#This Row],[ProjectName]])*ProjectInfoTable[NumberOfReplications]))</f>
        <v>4</v>
      </c>
      <c r="J6">
        <f t="array" ref="J6">IFERROR(AVERAGE(IF((CountersTable[GroupByKey]=CountersTable[[#This Row],[GroupByKey]]),(CountersTable[GroupByKey]=CountersTable[[#This Row],[GroupByKey]])*CountersTable[RecordedValue])),0)</f>
        <v>20</v>
      </c>
      <c r="K6">
        <f t="array" ref="K6">IFERROR(_xlfn.STDEV.S(IF((CountersTable[GroupByKey]=CountersTable[[#This Row],[GroupByKey]]),(CountersTable[GroupByKey]=CountersTable[[#This Row],[GroupByKey]])*CountersTable[RecordedValue])),0)</f>
        <v>4.5460605656619517</v>
      </c>
      <c r="L6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7.2337968253934202</v>
      </c>
      <c r="N6">
        <f t="array" ref="N6">MIN(IF((CountersTable[GroupByKey]=CountersTable[[#This Row],[GroupByKey]]),(CountersTable[GroupByKey]=CountersTable[[#This Row],[GroupByKey]])*CountersTable[RecordedValue]))</f>
        <v>14</v>
      </c>
      <c r="O6">
        <f t="array" ref="O6">MAX(IF((CountersTable[GroupByKey]=CountersTable[[#This Row],[GroupByKey]]),(CountersTable[GroupByKey]=CountersTable[[#This Row],[GroupByKey]])*CountersTable[RecordedValue]))</f>
        <v>25</v>
      </c>
    </row>
    <row r="7" spans="1:15" x14ac:dyDescent="0.25">
      <c r="A7" t="s">
        <v>67</v>
      </c>
      <c r="B7" t="s">
        <v>69</v>
      </c>
      <c r="C7">
        <v>3</v>
      </c>
      <c r="D7" t="s">
        <v>72</v>
      </c>
      <c r="E7" t="s">
        <v>70</v>
      </c>
      <c r="F7" t="s">
        <v>70</v>
      </c>
      <c r="G7">
        <v>27</v>
      </c>
      <c r="H7" t="str">
        <f>CountersTable[[#This Row],[ProjectName]]&amp;CountersTable[[#This Row],[Name]]&amp;CountersTable[[#This Row],[Type]]&amp;CountersTable[[#This Row],[Source]]</f>
        <v>IE306HW4Number Of Social Sciences Students Who Forget Their DrinkNoneNone</v>
      </c>
      <c r="I7">
        <f t="array" ref="I7">MAX(IF((ProjectInfoTable[ProjectName]=CountersTable[[#This Row],[ProjectName]]),(ProjectInfoTable[ProjectName]=CountersTable[[#This Row],[ProjectName]])*ProjectInfoTable[NumberOfReplications]))</f>
        <v>4</v>
      </c>
      <c r="J7">
        <f t="array" ref="J7">IFERROR(AVERAGE(IF((CountersTable[GroupByKey]=CountersTable[[#This Row],[GroupByKey]]),(CountersTable[GroupByKey]=CountersTable[[#This Row],[GroupByKey]])*CountersTable[RecordedValue])),0)</f>
        <v>23</v>
      </c>
      <c r="K7">
        <f t="array" ref="K7">IFERROR(_xlfn.STDEV.S(IF((CountersTable[GroupByKey]=CountersTable[[#This Row],[GroupByKey]]),(CountersTable[GroupByKey]=CountersTable[[#This Row],[GroupByKey]])*CountersTable[RecordedValue])),0)</f>
        <v>2.9439202887759488</v>
      </c>
      <c r="L7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4.684434123032382</v>
      </c>
      <c r="N7">
        <f t="array" ref="N7">MIN(IF((CountersTable[GroupByKey]=CountersTable[[#This Row],[GroupByKey]]),(CountersTable[GroupByKey]=CountersTable[[#This Row],[GroupByKey]])*CountersTable[RecordedValue]))</f>
        <v>20</v>
      </c>
      <c r="O7">
        <f t="array" ref="O7">MAX(IF((CountersTable[GroupByKey]=CountersTable[[#This Row],[GroupByKey]]),(CountersTable[GroupByKey]=CountersTable[[#This Row],[GroupByKey]])*CountersTable[RecordedValue]))</f>
        <v>27</v>
      </c>
    </row>
    <row r="8" spans="1:15" x14ac:dyDescent="0.25">
      <c r="A8" t="s">
        <v>67</v>
      </c>
      <c r="B8" t="s">
        <v>69</v>
      </c>
      <c r="C8">
        <v>4</v>
      </c>
      <c r="D8" t="s">
        <v>71</v>
      </c>
      <c r="E8" t="s">
        <v>70</v>
      </c>
      <c r="F8" t="s">
        <v>70</v>
      </c>
      <c r="G8">
        <v>14</v>
      </c>
      <c r="H8" t="str">
        <f>CountersTable[[#This Row],[ProjectName]]&amp;CountersTable[[#This Row],[Name]]&amp;CountersTable[[#This Row],[Type]]&amp;CountersTable[[#This Row],[Source]]</f>
        <v>IE306HW4Number Of Engineering Students Who Forget Their DrinkNoneNone</v>
      </c>
      <c r="I8">
        <f t="array" ref="I8">MAX(IF((ProjectInfoTable[ProjectName]=CountersTable[[#This Row],[ProjectName]]),(ProjectInfoTable[ProjectName]=CountersTable[[#This Row],[ProjectName]])*ProjectInfoTable[NumberOfReplications]))</f>
        <v>4</v>
      </c>
      <c r="J8">
        <f t="array" ref="J8">IFERROR(AVERAGE(IF((CountersTable[GroupByKey]=CountersTable[[#This Row],[GroupByKey]]),(CountersTable[GroupByKey]=CountersTable[[#This Row],[GroupByKey]])*CountersTable[RecordedValue])),0)</f>
        <v>20</v>
      </c>
      <c r="K8">
        <f t="array" ref="K8">IFERROR(_xlfn.STDEV.S(IF((CountersTable[GroupByKey]=CountersTable[[#This Row],[GroupByKey]]),(CountersTable[GroupByKey]=CountersTable[[#This Row],[GroupByKey]])*CountersTable[RecordedValue])),0)</f>
        <v>4.5460605656619517</v>
      </c>
      <c r="L8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7.2337968253934202</v>
      </c>
      <c r="N8">
        <f t="array" ref="N8">MIN(IF((CountersTable[GroupByKey]=CountersTable[[#This Row],[GroupByKey]]),(CountersTable[GroupByKey]=CountersTable[[#This Row],[GroupByKey]])*CountersTable[RecordedValue]))</f>
        <v>14</v>
      </c>
      <c r="O8">
        <f t="array" ref="O8">MAX(IF((CountersTable[GroupByKey]=CountersTable[[#This Row],[GroupByKey]]),(CountersTable[GroupByKey]=CountersTable[[#This Row],[GroupByKey]])*CountersTable[RecordedValue]))</f>
        <v>25</v>
      </c>
    </row>
    <row r="9" spans="1:15" x14ac:dyDescent="0.25">
      <c r="A9" t="s">
        <v>67</v>
      </c>
      <c r="B9" t="s">
        <v>69</v>
      </c>
      <c r="C9">
        <v>4</v>
      </c>
      <c r="D9" t="s">
        <v>72</v>
      </c>
      <c r="E9" t="s">
        <v>70</v>
      </c>
      <c r="F9" t="s">
        <v>70</v>
      </c>
      <c r="G9">
        <v>23</v>
      </c>
      <c r="H9" t="str">
        <f>CountersTable[[#This Row],[ProjectName]]&amp;CountersTable[[#This Row],[Name]]&amp;CountersTable[[#This Row],[Type]]&amp;CountersTable[[#This Row],[Source]]</f>
        <v>IE306HW4Number Of Social Sciences Students Who Forget Their DrinkNoneNone</v>
      </c>
      <c r="I9">
        <f t="array" ref="I9">MAX(IF((ProjectInfoTable[ProjectName]=CountersTable[[#This Row],[ProjectName]]),(ProjectInfoTable[ProjectName]=CountersTable[[#This Row],[ProjectName]])*ProjectInfoTable[NumberOfReplications]))</f>
        <v>4</v>
      </c>
      <c r="J9">
        <f t="array" ref="J9">IFERROR(AVERAGE(IF((CountersTable[GroupByKey]=CountersTable[[#This Row],[GroupByKey]]),(CountersTable[GroupByKey]=CountersTable[[#This Row],[GroupByKey]])*CountersTable[RecordedValue])),0)</f>
        <v>23</v>
      </c>
      <c r="K9">
        <f t="array" ref="K9">IFERROR(_xlfn.STDEV.S(IF((CountersTable[GroupByKey]=CountersTable[[#This Row],[GroupByKey]]),(CountersTable[GroupByKey]=CountersTable[[#This Row],[GroupByKey]])*CountersTable[RecordedValue])),0)</f>
        <v>2.9439202887759488</v>
      </c>
      <c r="L9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4.684434123032382</v>
      </c>
      <c r="N9">
        <f t="array" ref="N9">MIN(IF((CountersTable[GroupByKey]=CountersTable[[#This Row],[GroupByKey]]),(CountersTable[GroupByKey]=CountersTable[[#This Row],[GroupByKey]])*CountersTable[RecordedValue]))</f>
        <v>20</v>
      </c>
      <c r="O9">
        <f t="array" ref="O9">MAX(IF((CountersTable[GroupByKey]=CountersTable[[#This Row],[GroupByKey]]),(CountersTable[GroupByKey]=CountersTable[[#This Row],[GroupByKey]])*CountersTable[RecordedValue]))</f>
        <v>27</v>
      </c>
    </row>
  </sheetData>
  <phoneticPr fontId="2" type="noConversion"/>
  <conditionalFormatting sqref="H2:O9">
    <cfRule type="expression" dxfId="4" priority="2">
      <formula>MOD(ROW(),2)=0</formula>
    </cfRule>
  </conditionalFormatting>
  <conditionalFormatting sqref="M2:M9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5"/>
  <sheetViews>
    <sheetView workbookViewId="0">
      <selection activeCell="H2" sqref="H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18.85546875" bestFit="1" customWidth="1"/>
    <col min="5" max="5" width="12" bestFit="1" customWidth="1"/>
    <col min="6" max="6" width="9.28515625" bestFit="1" customWidth="1"/>
    <col min="7" max="7" width="17" bestFit="1" customWidth="1"/>
    <col min="8" max="8" width="12" bestFit="1" customWidth="1"/>
    <col min="9" max="9" width="45.85546875" bestFit="1" customWidth="1"/>
    <col min="10" max="10" width="17.28515625" bestFit="1" customWidth="1"/>
    <col min="11" max="11" width="10.5703125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69</v>
      </c>
      <c r="C2">
        <v>1</v>
      </c>
      <c r="D2" t="s">
        <v>73</v>
      </c>
      <c r="E2" t="s">
        <v>74</v>
      </c>
      <c r="F2" t="s">
        <v>75</v>
      </c>
      <c r="G2">
        <v>0</v>
      </c>
      <c r="H2">
        <v>0</v>
      </c>
      <c r="I2" t="str">
        <f>OutputTable[[#This Row],[ProjectName]]&amp;OutputTable[[#This Row],[Name]]&amp;OutputTable[[#This Row],[Type]]&amp;OutputTable[[#This Row],[Source]]</f>
        <v>IE306HW4System.NumberOutNumber OutSystem</v>
      </c>
      <c r="J2">
        <f t="array" ref="J2">MAX(IF((ProjectInfoTable[ProjectName]=OutputTable[[#This Row],[ProjectName]]),(ProjectInfoTable[ProjectName]=OutputTable[[#This Row],[ProjectName]])*ProjectInfoTable[NumberOfReplications]))</f>
        <v>4</v>
      </c>
      <c r="K2">
        <f t="array" ref="K2">IFERROR(AVERAGE(IF((OutputTable[GroupByKey]=OutputTable[[#This Row],[GroupByKey]]),(OutputTable[GroupByKey]=OutputTable[[#This Row],[GroupByKey]])*OutputTable[RecordedValue])),0)</f>
        <v>0</v>
      </c>
      <c r="L2">
        <f t="array" ref="L2">IFERROR(_xlfn.STDEV.S(IF((OutputTable[GroupByKey]=OutputTable[[#This Row],[GroupByKey]]),(OutputTable[GroupByKey]=OutputTable[[#This Row],[GroupByKey]])*OutputTable[RecordedValue])),0)</f>
        <v>0</v>
      </c>
      <c r="M2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">
        <f t="array" ref="O2">MIN(IF((OutputTable[GroupByKey]=OutputTable[[#This Row],[GroupByKey]]),(OutputTable[GroupByKey]=OutputTable[[#This Row],[GroupByKey]])*OutputTable[RecordedValue]))</f>
        <v>0</v>
      </c>
      <c r="P2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25">
      <c r="A3" t="s">
        <v>67</v>
      </c>
      <c r="B3" t="s">
        <v>69</v>
      </c>
      <c r="C3">
        <v>2</v>
      </c>
      <c r="D3" t="s">
        <v>73</v>
      </c>
      <c r="E3" t="s">
        <v>74</v>
      </c>
      <c r="F3" t="s">
        <v>75</v>
      </c>
      <c r="G3">
        <v>0</v>
      </c>
      <c r="H3">
        <v>0</v>
      </c>
      <c r="I3" t="str">
        <f>OutputTable[[#This Row],[ProjectName]]&amp;OutputTable[[#This Row],[Name]]&amp;OutputTable[[#This Row],[Type]]&amp;OutputTable[[#This Row],[Source]]</f>
        <v>IE306HW4System.NumberOutNumber OutSystem</v>
      </c>
      <c r="J3">
        <f t="array" ref="J3">MAX(IF((ProjectInfoTable[ProjectName]=OutputTable[[#This Row],[ProjectName]]),(ProjectInfoTable[ProjectName]=OutputTable[[#This Row],[ProjectName]])*ProjectInfoTable[NumberOfReplications]))</f>
        <v>4</v>
      </c>
      <c r="K3">
        <f t="array" ref="K3">IFERROR(AVERAGE(IF((OutputTable[GroupByKey]=OutputTable[[#This Row],[GroupByKey]]),(OutputTable[GroupByKey]=OutputTable[[#This Row],[GroupByKey]])*OutputTable[RecordedValue])),0)</f>
        <v>0</v>
      </c>
      <c r="L3">
        <f t="array" ref="L3">IFERROR(_xlfn.STDEV.S(IF((OutputTable[GroupByKey]=OutputTable[[#This Row],[GroupByKey]]),(OutputTable[GroupByKey]=OutputTable[[#This Row],[GroupByKey]])*OutputTable[RecordedValue])),0)</f>
        <v>0</v>
      </c>
      <c r="M3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">
        <f t="array" ref="O3">MIN(IF((OutputTable[GroupByKey]=OutputTable[[#This Row],[GroupByKey]]),(OutputTable[GroupByKey]=OutputTable[[#This Row],[GroupByKey]])*OutputTable[RecordedValue]))</f>
        <v>0</v>
      </c>
      <c r="P3">
        <f t="array" ref="P3">MAX(IF((OutputTable[GroupByKey]=OutputTable[[#This Row],[GroupByKey]]),(OutputTable[GroupByKey]=OutputTable[[#This Row],[GroupByKey]])*OutputTable[RecordedValue]))</f>
        <v>0</v>
      </c>
    </row>
    <row r="4" spans="1:16" x14ac:dyDescent="0.25">
      <c r="A4" t="s">
        <v>67</v>
      </c>
      <c r="B4" t="s">
        <v>69</v>
      </c>
      <c r="C4">
        <v>3</v>
      </c>
      <c r="D4" t="s">
        <v>73</v>
      </c>
      <c r="E4" t="s">
        <v>74</v>
      </c>
      <c r="F4" t="s">
        <v>75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IE306HW4System.NumberOutNumber OutSystem</v>
      </c>
      <c r="J4">
        <f t="array" ref="J4">MAX(IF((ProjectInfoTable[ProjectName]=OutputTable[[#This Row],[ProjectName]]),(ProjectInfoTable[ProjectName]=OutputTable[[#This Row],[ProjectName]])*ProjectInfoTable[NumberOfReplications]))</f>
        <v>4</v>
      </c>
      <c r="K4">
        <f t="array" ref="K4">IFERROR(AVERAGE(IF((OutputTable[GroupByKey]=OutputTable[[#This Row],[GroupByKey]]),(OutputTable[GroupByKey]=OutputTable[[#This Row],[GroupByKey]])*OutputTable[RecordedValue])),0)</f>
        <v>0</v>
      </c>
      <c r="L4">
        <f t="array" ref="L4">IFERROR(_xlfn.STDEV.S(IF((OutputTable[GroupByKey]=OutputTable[[#This Row],[GroupByKey]]),(OutputTable[GroupByKey]=OutputTable[[#This Row],[GroupByKey]])*OutputTable[RecordedValue])),0)</f>
        <v>0</v>
      </c>
      <c r="M4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">
        <f t="array" ref="O4">MIN(IF((OutputTable[GroupByKey]=OutputTable[[#This Row],[GroupByKey]]),(OutputTable[GroupByKey]=OutputTable[[#This Row],[GroupByKey]])*OutputTable[RecordedValue]))</f>
        <v>0</v>
      </c>
      <c r="P4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A5" t="s">
        <v>67</v>
      </c>
      <c r="B5" t="s">
        <v>69</v>
      </c>
      <c r="C5">
        <v>4</v>
      </c>
      <c r="D5" t="s">
        <v>73</v>
      </c>
      <c r="E5" t="s">
        <v>74</v>
      </c>
      <c r="F5" t="s">
        <v>75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IE306HW4System.NumberOutNumber OutSystem</v>
      </c>
      <c r="J5">
        <f t="array" ref="J5">MAX(IF((ProjectInfoTable[ProjectName]=OutputTable[[#This Row],[ProjectName]]),(ProjectInfoTable[ProjectName]=OutputTable[[#This Row],[ProjectName]])*ProjectInfoTable[NumberOfReplications]))</f>
        <v>4</v>
      </c>
      <c r="K5">
        <f t="array" ref="K5">IFERROR(AVERAGE(IF((OutputTable[GroupByKey]=OutputTable[[#This Row],[GroupByKey]]),(OutputTable[GroupByKey]=OutputTable[[#This Row],[GroupByKey]])*OutputTable[RecordedValue])),0)</f>
        <v>0</v>
      </c>
      <c r="L5">
        <f t="array" ref="L5">IFERROR(_xlfn.STDEV.S(IF((OutputTable[GroupByKey]=OutputTable[[#This Row],[GroupByKey]]),(OutputTable[GroupByKey]=OutputTable[[#This Row],[GroupByKey]])*OutputTable[RecordedValue])),0)</f>
        <v>0</v>
      </c>
      <c r="M5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">
        <f t="array" ref="O5">MIN(IF((OutputTable[GroupByKey]=OutputTable[[#This Row],[GroupByKey]]),(OutputTable[GroupByKey]=OutputTable[[#This Row],[GroupByKey]])*OutputTable[RecordedValue]))</f>
        <v>0</v>
      </c>
      <c r="P5">
        <f t="array" ref="P5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5">
    <cfRule type="expression" dxfId="2" priority="2">
      <formula>MOD(ROW(),2)=0</formula>
    </cfRule>
  </conditionalFormatting>
  <conditionalFormatting sqref="N2:N5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4.28515625" bestFit="1" customWidth="1"/>
    <col min="12" max="12" width="30" bestFit="1" customWidth="1"/>
    <col min="13" max="13" width="31.140625" bestFit="1" customWidth="1"/>
    <col min="14" max="14" width="17.28515625" bestFit="1" customWidth="1"/>
    <col min="15" max="15" width="29" bestFit="1" customWidth="1"/>
    <col min="16" max="16" width="30.140625" bestFit="1" customWidth="1"/>
    <col min="17" max="17" width="29.28515625" bestFit="1" customWidth="1"/>
    <col min="18" max="18" width="28.28515625" bestFit="1" customWidth="1"/>
    <col min="19" max="19" width="26.28515625" bestFit="1" customWidth="1"/>
    <col min="20" max="20" width="29.85546875" bestFit="1" customWidth="1"/>
    <col min="21" max="21" width="31.85546875" bestFit="1" customWidth="1"/>
    <col min="22" max="22" width="32.140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Admin</cp:lastModifiedBy>
  <cp:lastPrinted>2022-03-22T10:33:10Z</cp:lastPrinted>
  <dcterms:created xsi:type="dcterms:W3CDTF">2020-06-29T21:30:31Z</dcterms:created>
  <dcterms:modified xsi:type="dcterms:W3CDTF">2022-12-19T10:55:13Z</dcterms:modified>
</cp:coreProperties>
</file>